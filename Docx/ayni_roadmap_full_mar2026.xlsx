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urma/Desktop/CodeVibe/AYNI_Marketplace/Docx/"/>
    </mc:Choice>
  </mc:AlternateContent>
  <xr:revisionPtr revIDLastSave="0" documentId="13_ncr:1_{D7AA6D6A-4E59-034A-9C41-84FCD733CA05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Роадмап" sheetId="1" r:id="rId1"/>
    <sheet name="Сводка по спринтам" sheetId="2" r:id="rId2"/>
    <sheet name="Целевые метрики" sheetId="3" r:id="rId3"/>
  </sheets>
  <definedNames>
    <definedName name="_xlnm._FilterDatabase" localSheetId="0" hidden="1">Роадмап!$A$4:$O$50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<sst xmlns="http://schemas.openxmlformats.org/spreadsheetml/2006/main" count="589" uniqueCount="326">
  <si>
    <t>ICE = Impact × Confidence / Effort. Спринты по 2 недели. Приоритизация: сначала ICE, затем зависимости.</t>
  </si>
  <si>
    <t>№</t>
  </si>
  <si>
    <t>Спринт</t>
  </si>
  <si>
    <t>Даты</t>
  </si>
  <si>
    <t>P</t>
  </si>
  <si>
    <t>Стрим</t>
  </si>
  <si>
    <t>Тип</t>
  </si>
  <si>
    <t>Задача</t>
  </si>
  <si>
    <t>Проблема</t>
  </si>
  <si>
    <t>Решение</t>
  </si>
  <si>
    <t>Impact
(1-10)</t>
  </si>
  <si>
    <t>Conf.
(0.5-1.0)</t>
  </si>
  <si>
    <t>Effort
(1-10)</t>
  </si>
  <si>
    <t>ICE</t>
  </si>
  <si>
    <t>Owner</t>
  </si>
  <si>
    <t>Зависимости</t>
  </si>
  <si>
    <t>Sprint 1</t>
  </si>
  <si>
    <t>3–16 мар</t>
  </si>
  <si>
    <t>P0</t>
  </si>
  <si>
    <t>Platform</t>
  </si>
  <si>
    <t>Infra</t>
  </si>
  <si>
    <t>In-house разработка: миграция кода и процессов</t>
  </si>
  <si>
    <t>Зависимость от внешних подрядчиков → медленные релизы, потеря контроля</t>
  </si>
  <si>
    <t>Полный перенос кода, доступов, процессов in-house. Команда владеет всем стеком</t>
  </si>
  <si>
    <t>CTO / Dev Lead</t>
  </si>
  <si>
    <t>Data</t>
  </si>
  <si>
    <t>Analytics foundation (event tracking)</t>
  </si>
  <si>
    <t>Mixpanel/Amplitude: signup→purchase→stake→claim funnel, session tracking, A/B foundation</t>
  </si>
  <si>
    <t>Product + Dev</t>
  </si>
  <si>
    <t>Compliance</t>
  </si>
  <si>
    <t>Legal</t>
  </si>
  <si>
    <t>Договор Ayni ↔ Mineralis (формализация)</t>
  </si>
  <si>
    <t>SLA / revenue-sharing agreement между AYNI TOKEN INC. и Minerales San Hilario S.C.R.L.</t>
  </si>
  <si>
    <t>CEO + Legal</t>
  </si>
  <si>
    <t>P1</t>
  </si>
  <si>
    <t>Design + Dev</t>
  </si>
  <si>
    <t>Sprint 2</t>
  </si>
  <si>
    <t>17–30 мар</t>
  </si>
  <si>
    <t>UX / Дизайн</t>
  </si>
  <si>
    <t>Redesign</t>
  </si>
  <si>
    <t>Полный визуальный редизайн: private banking aesthetic</t>
  </si>
  <si>
    <t>S1: Design System</t>
  </si>
  <si>
    <t>UX</t>
  </si>
  <si>
    <t>Переработка навигации и терминологии</t>
  </si>
  <si>
    <t>4 пункта: Home/Positions/Resources/Participate. Mobile: bottom tab bar. Понятный Web2-язык</t>
  </si>
  <si>
    <t>Content</t>
  </si>
  <si>
    <t>Замена compliance-терминологии (все экраны, 3 языка)</t>
  </si>
  <si>
    <t>Staking→Participating, Rewards→Distributions, Earn→Accruing, Invest→Participate. EN/RU/ES</t>
  </si>
  <si>
    <t>Product + Legal</t>
  </si>
  <si>
    <t>Home dashboard: wealth management view</t>
  </si>
  <si>
    <t>TOTAL ACCRUED $31.04, countdown ring (дни до выплаты), 3 KPI-карточки ($participating, $daily, next payout), Chart/Journal toggle, приветствие по имени</t>
  </si>
  <si>
    <t>Dev Team</t>
  </si>
  <si>
    <t>S1: Design System, S2: Nav</t>
  </si>
  <si>
    <t>Sprint 3</t>
  </si>
  <si>
    <t>31 мар–13 апр</t>
  </si>
  <si>
    <t>Конверсия</t>
  </si>
  <si>
    <t>Единый поток Participate (Buy + Stake в одном шаге)</t>
  </si>
  <si>
    <t>Два отдельных экрана: Buy AYNI + Staking. Потеря конверсии между ними. Крипто-формы с gas fee</t>
  </si>
  <si>
    <t>Одна страница: $ input ($100-$5k presets), term slider 6-48mo, auto-stake ON default, одна кнопка «Get $500 in AYNI and activate»</t>
  </si>
  <si>
    <t>Feature</t>
  </si>
  <si>
    <t>Live Projection Engine (калькулятор доходности)</t>
  </si>
  <si>
    <t>Real-time: gold output (g + $), daily/monthly/quarterly breakdown, ranges по волатильности, disclaimer</t>
  </si>
  <si>
    <t>S3: Participate page</t>
  </si>
  <si>
    <t>6-месячный срок участия (entry tier)</t>
  </si>
  <si>
    <t>Показать комиссии карт ДО оплаты</t>
  </si>
  <si>
    <t>$100 → $95 у провайдера → недоверие, support тикеты, churn</t>
  </si>
  <si>
    <t>Order Summary: amount + fee + total ПЕРЕД редиректом. RnD по API провайдеров для получения fees</t>
  </si>
  <si>
    <t>OTC CTA для крупных чеков (&gt;$5k)</t>
  </si>
  <si>
    <t>Product + Sales</t>
  </si>
  <si>
    <t>Sprint 4</t>
  </si>
  <si>
    <t>14–27 апр</t>
  </si>
  <si>
    <t>Trust</t>
  </si>
  <si>
    <t>Trust &amp; Transparency (полностью новый раздел)</t>
  </si>
  <si>
    <t>Нет доказательной базы в приложении. Всё в Gitbook, куда 95% не доходят. HNW не конвертируются</t>
  </si>
  <si>
    <t>Полная страница: лицензии INGEMMET, scoping study, оборудование (16 ед.), помесячная добыча Jul-Dec 2025, аудиты PeckShield+CertiK, юрструктура BVI+Peru, 6 рисков с mitigation, 9 FAQ</t>
  </si>
  <si>
    <t>Positions (portfolio view с Withdraw/Reinvest)</t>
  </si>
  <si>
    <t>Position Value в $, progress bar %, Withdraw/Reinvest кнопки, estimated payouts, expanded/collapsed view</t>
  </si>
  <si>
    <t>Trust / Social</t>
  </si>
  <si>
    <t>Social Proof: participants counter + аватары</t>
  </si>
  <si>
    <t>«47 participants are receiving distributions» + аватары, интеграция на Home и Participate</t>
  </si>
  <si>
    <t>Daily Distribution counter + Countdown ring</t>
  </si>
  <si>
    <t>Нет ежедневной причины открыть приложение. Только таблица daily rewards в граммах</t>
  </si>
  <si>
    <t>S2: Home</t>
  </si>
  <si>
    <t>Sprint 5</t>
  </si>
  <si>
    <t>28 апр–11 мая</t>
  </si>
  <si>
    <t>Education</t>
  </si>
  <si>
    <t>Resources / Learn (Knowledge Hub)</t>
  </si>
  <si>
    <t>Getting Started (3 карточки: How it works / First participation / Understanding distributions), 8+ FAQ, value chain, Need help (3 канала)</t>
  </si>
  <si>
    <t>Product + Content</t>
  </si>
  <si>
    <t>Видео-контент: 3 обучающих ролика</t>
  </si>
  <si>
    <t>Снять 3 видео (2-3 мин): How it works / First participation / Distributions. Human-style, не AI</t>
  </si>
  <si>
    <t>Marketing + Product</t>
  </si>
  <si>
    <t>S5: Learn page</t>
  </si>
  <si>
    <t>Settings с Advanced View toggle</t>
  </si>
  <si>
    <t>Profile: хеш-ID eef32eb8, только Password+KYC+MFA. Один вид для всех</t>
  </si>
  <si>
    <t>Имя, Appearance Light/Dark, Language, Advanced View (Web2↔Web3 toggle), Units USD/PAXG, Connected wallets</t>
  </si>
  <si>
    <t>Gamification</t>
  </si>
  <si>
    <t>Нет геймификации, нет upsell-механики</t>
  </si>
  <si>
    <t>Level 1: Explorer с progress bar, «Add $4,000 to reach Operation» CTA. Foundation для 5 уровней</t>
  </si>
  <si>
    <t>P2</t>
  </si>
  <si>
    <t>Нет актуального official document → trust ↓</t>
  </si>
  <si>
    <t>Финализировать, review, опубликовать, связать с Resources</t>
  </si>
  <si>
    <t>Product + CEO</t>
  </si>
  <si>
    <t>Sprint 6</t>
  </si>
  <si>
    <t>12–25 мая</t>
  </si>
  <si>
    <t>Notifications</t>
  </si>
  <si>
    <t>Backend in-app уведомлений</t>
  </si>
  <si>
    <t>Bell icon в UI, но backend нет. Нет способа коммуницировать с users</t>
  </si>
  <si>
    <t>Action-based notifications (автоматические) + Admin panel для кампаний + FCM push</t>
  </si>
  <si>
    <t>Yield</t>
  </si>
  <si>
    <t>In-app swap PAXG → AYNI (reinvest engine)</t>
  </si>
  <si>
    <t>DEX агрегатор (1inch) или OTC swap через Ayni. Минимум: PAXG→AYNI внутри платформы</t>
  </si>
  <si>
    <t>S4: Positions page</t>
  </si>
  <si>
    <t>Purchase</t>
  </si>
  <si>
    <t>EUR ↔ AYNI: двусторонний ввод суммы</t>
  </si>
  <si>
    <t>Два поля, оба editable, двусторонний пересчёт в реальном времени</t>
  </si>
  <si>
    <t>Onboarding</t>
  </si>
  <si>
    <t>Research</t>
  </si>
  <si>
    <t>Фокус-группа: запись пользовательского пути</t>
  </si>
  <si>
    <t>5-10 тестов с записью, список issues, приоритизация. Валидация редизайна</t>
  </si>
  <si>
    <t>Product</t>
  </si>
  <si>
    <t>Sprint 7</t>
  </si>
  <si>
    <t>26 мая–8 июн</t>
  </si>
  <si>
    <t>Mobile App (PWA → нативное)</t>
  </si>
  <si>
    <t>Desktop-only ограничивает DAU. Дизайн уже mobile-first</t>
  </si>
  <si>
    <t>Шаг 1: PWA (быстро, одна кодовая база). Шаг 2: React Native для нативного опыта</t>
  </si>
  <si>
    <t>S1–S5: все экраны</t>
  </si>
  <si>
    <t>Growth</t>
  </si>
  <si>
    <t>Referral Program (MVP)</t>
  </si>
  <si>
    <t>Инфлюенсеры слабо конвертируют. Нет встроенных growth-механик</t>
  </si>
  <si>
    <t>Referral link в профиле → invited: register + purchase + stake → reward в PAXG. Anti-abuse rules</t>
  </si>
  <si>
    <t>Premium</t>
  </si>
  <si>
    <t>Premium badge + placeholder</t>
  </si>
  <si>
    <t>Нет premium tier, нет дифференциации пользователей</t>
  </si>
  <si>
    <t>Premium badge в навигации, инфраструктура для будущих привилегий</t>
  </si>
  <si>
    <t>Sprint 8</t>
  </si>
  <si>
    <t>9–22 июн</t>
  </si>
  <si>
    <t>Points Program (earn/spend экономика)</t>
  </si>
  <si>
    <t>Нет incentives → сложно управлять retention и поведением</t>
  </si>
  <si>
    <t>Earn points: purchase, stake, referral, login streak. Spend: VIP status, events, content. Anti-abuse</t>
  </si>
  <si>
    <t>Loyalty</t>
  </si>
  <si>
    <t>Club tiers (Bronze/Silver/Gold/VIP)</t>
  </si>
  <si>
    <t>Tier по объёму staked AYNI. Скидки на fees, exclusive features, priority support</t>
  </si>
  <si>
    <t>S5: My Mine</t>
  </si>
  <si>
    <t>Sprint 9</t>
  </si>
  <si>
    <t>23 июн–6 июл</t>
  </si>
  <si>
    <t>Vesting</t>
  </si>
  <si>
    <t>Vesting Contract + UI</t>
  </si>
  <si>
    <t>Нет контролируемого unlock → trust/stability risk. Rewards "мгновенные"</t>
  </si>
  <si>
    <t>Scheduled vesting/unlock + UI: locked/available balance, unlock timeline. Smart contract</t>
  </si>
  <si>
    <t>Dual KYC optimization</t>
  </si>
  <si>
    <t>Два KYC-процесса убивают конверсию</t>
  </si>
  <si>
    <t>Provider KYC → передача данных к нам. Единый поток для пользователя</t>
  </si>
  <si>
    <t>Legal + Dev</t>
  </si>
  <si>
    <t>Promo codes + cashback campaigns</t>
  </si>
  <si>
    <t>Нет инструментов для стимулирования покупок</t>
  </si>
  <si>
    <t>Cashback в PAXG после staking 1-2 года, promo codes. Admin panel для создания</t>
  </si>
  <si>
    <t>Growth + Dev</t>
  </si>
  <si>
    <t>Sprint 10</t>
  </si>
  <si>
    <t>7–20 июл</t>
  </si>
  <si>
    <t>Social</t>
  </si>
  <si>
    <t>Leaderboards + «mined yesterday» ticker</t>
  </si>
  <si>
    <t>Low engagement, продукт выглядит "мёртвым"</t>
  </si>
  <si>
    <t>Leaderboards: staked/mined/top. Activity ticker: реальные покупки/стейки</t>
  </si>
  <si>
    <t>Comms</t>
  </si>
  <si>
    <t>Integration</t>
  </si>
  <si>
    <t>Twilio + WhatsApp для RU-аудитории</t>
  </si>
  <si>
    <t>Русскоязычный сегмент не получает уведомления</t>
  </si>
  <si>
    <t>Twilio API + WhatsApp Business. RU phone numbers support</t>
  </si>
  <si>
    <t>S6: Notifications</t>
  </si>
  <si>
    <t>My Mine: 5 уровней (полная визуализация)</t>
  </si>
  <si>
    <t>Только Level 1. Нужна полная progression для retention</t>
  </si>
  <si>
    <t>Explorer → Prospector → Operation → Mining Camp → Gold Empire. Визуалы, unlock mechanics</t>
  </si>
  <si>
    <t>S5: My Mine L1</t>
  </si>
  <si>
    <t>Q4 2026</t>
  </si>
  <si>
    <t>Окт–Дек</t>
  </si>
  <si>
    <t>On-platform swap PAXG ↔ AYNI</t>
  </si>
  <si>
    <t>Встроенный swap engine: полноценный обмен внутри платформы</t>
  </si>
  <si>
    <t>S6: PAXG→AYNI</t>
  </si>
  <si>
    <t>Governance</t>
  </si>
  <si>
    <t>DAO voting (MVP)</t>
  </si>
  <si>
    <t>Users не чувствуют влияния → ниже retention</t>
  </si>
  <si>
    <t>In-app voting на предопределённые темы. OpenZeppelin governance contracts</t>
  </si>
  <si>
    <t>New Products</t>
  </si>
  <si>
    <t>Yield на другие активы в кошельке</t>
  </si>
  <si>
    <t>PAXG/AYNI balances лежат без дохода</t>
  </si>
  <si>
    <t>R&amp;D: DeFi/off-chain yield options</t>
  </si>
  <si>
    <t>P3</t>
  </si>
  <si>
    <t>Premium access + VIP events</t>
  </si>
  <si>
    <t>Premium badge есть, но нет контента</t>
  </si>
  <si>
    <t>VIP events, exclusive content, priority features</t>
  </si>
  <si>
    <t>S7: Premium</t>
  </si>
  <si>
    <t>Wrapped staking position + collateral</t>
  </si>
  <si>
    <t>Недостаточная utility токена вне платформы</t>
  </si>
  <si>
    <t>R&amp;D: wrapped stake, возможность как collateral для loans</t>
  </si>
  <si>
    <t>2027</t>
  </si>
  <si>
    <t>H1</t>
  </si>
  <si>
    <t>Payment Card (Standard + VIP Gold)</t>
  </si>
  <si>
    <t>Мало utility за пределами приложения</t>
  </si>
  <si>
    <t>Research: провайдеры, юрисдикции, модель. Кто эмитент, где доступно</t>
  </si>
  <si>
    <t>Access</t>
  </si>
  <si>
    <t>P2P purchase (пилот)</t>
  </si>
  <si>
    <t>В ряде стран сложно купить через карты/банки</t>
  </si>
  <si>
    <t>R&amp;D + пилот P2P-интеграции</t>
  </si>
  <si>
    <t>AYNI Academy (learning + rewards)</t>
  </si>
  <si>
    <t>Недоверие из-за слабого понимания. Лид-магнит потенциал</t>
  </si>
  <si>
    <t>Обучающий контент: видео/подкасты, rewards за прохождение модулей</t>
  </si>
  <si>
    <t>Marketing</t>
  </si>
  <si>
    <t>H2</t>
  </si>
  <si>
    <t>Redeem PAXG → Physical Gold</t>
  </si>
  <si>
    <t>Уникальная дифференциация. «Цифровое золото → реальное золото»</t>
  </si>
  <si>
    <t>R&amp;D: логистика, партнёры, min сумма, compliance</t>
  </si>
  <si>
    <t>CEO + Ops</t>
  </si>
  <si>
    <t>NFT marketplace (mining-themed)</t>
  </si>
  <si>
    <t>Нет коллекционных utility</t>
  </si>
  <si>
    <t>Concept: mining NFTs, exclusive access tokens, community badges</t>
  </si>
  <si>
    <t>AYNI GOLD — План по спринтам (2-недельные циклы)</t>
  </si>
  <si>
    <t>Задач</t>
  </si>
  <si>
    <t>P2/P3</t>
  </si>
  <si>
    <t>Ключевые deliverables</t>
  </si>
  <si>
    <t>Milestone</t>
  </si>
  <si>
    <t>In-house миграция, Analytics foundation, Договор Ayni↔Mineralis, Design System</t>
  </si>
  <si>
    <t>🏁 Фундамент: данные + юридика + дизайн</t>
  </si>
  <si>
    <t>Visual redesign, Навигация, Compliance-язык, Home dashboard</t>
  </si>
  <si>
    <t>✨ Пользователь впервые видит wealth view</t>
  </si>
  <si>
    <t>Participate (единый поток), Projection Engine, 6-мес срок, Комиссии, OTC CTA</t>
  </si>
  <si>
    <t>💰 Conversion engine запущен</t>
  </si>
  <si>
    <t>Trust &amp; Transparency, Positions, Social proof, Daily counter</t>
  </si>
  <si>
    <t>🛡️ Trust layer готов — можно продавать HNW</t>
  </si>
  <si>
    <t>Resources/Learn, 3 видео, Settings + Advanced View, My Mine L1, Whitepaper</t>
  </si>
  <si>
    <t>📚 Onboarding + Education полный</t>
  </si>
  <si>
    <t>Notifications backend, PAXG→AYNI swap, EUR↔AYNI input, Фокус-группа</t>
  </si>
  <si>
    <t>⚙️ Backend features + валидация</t>
  </si>
  <si>
    <t>Mobile PWA/App, Referral MVP, Premium placeholder</t>
  </si>
  <si>
    <t>📱 Mobile launch</t>
  </si>
  <si>
    <t>Points Program, Club tiers</t>
  </si>
  <si>
    <t>🎮 Retention mechanics</t>
  </si>
  <si>
    <t>Vesting Contract, Dual KYC, Promo codes</t>
  </si>
  <si>
    <t>🔒 Infrastructure hardening</t>
  </si>
  <si>
    <t>Leaderboards, WhatsApp RU, My Mine 5 levels</t>
  </si>
  <si>
    <t>🏆 Social + Gamification</t>
  </si>
  <si>
    <t>On-platform swap, DAO MVP, Yield R&amp;D, Premium content, Wrapped stake R&amp;D</t>
  </si>
  <si>
    <t>🔄 Platform maturity</t>
  </si>
  <si>
    <t>H1–H2</t>
  </si>
  <si>
    <t>Payment Card R&amp;D, P2P, Academy, Physical Gold, NFT</t>
  </si>
  <si>
    <t>🚀 New product lines</t>
  </si>
  <si>
    <t>ИТОГО</t>
  </si>
  <si>
    <t>AYNI GOLD — Целевые метрики продукта</t>
  </si>
  <si>
    <t>Метрика</t>
  </si>
  <si>
    <t>Сейчас (до старта)</t>
  </si>
  <si>
    <t>Цель Sprint 5
(~2 мес)</t>
  </si>
  <si>
    <t>Цель Sprint 10
(~5 мес)</t>
  </si>
  <si>
    <t>Как измеряем</t>
  </si>
  <si>
    <t>Time to first purchase</t>
  </si>
  <si>
    <t>&gt;15 мин</t>
  </si>
  <si>
    <t>&lt;7 мин</t>
  </si>
  <si>
    <t>&lt;5 мин</t>
  </si>
  <si>
    <t>Analytics: signup → first purchase event</t>
  </si>
  <si>
    <t>Buy → Stake conversion</t>
  </si>
  <si>
    <t>~60% (ручной)</t>
  </si>
  <si>
    <t>&gt;85% (auto-stake)</t>
  </si>
  <si>
    <t>&gt;90%</t>
  </si>
  <si>
    <t>Funnel: purchase → stake events</t>
  </si>
  <si>
    <t>Daily Active Users</t>
  </si>
  <si>
    <t>5–10</t>
  </si>
  <si>
    <t>25–30</t>
  </si>
  <si>
    <t>50+</t>
  </si>
  <si>
    <t>Unique login events / day</t>
  </si>
  <si>
    <t>Avg session duration</t>
  </si>
  <si>
    <t>~2 мин</t>
  </si>
  <si>
    <t>~4 мин</t>
  </si>
  <si>
    <t>~5 мин</t>
  </si>
  <si>
    <t>Session start→end tracking</t>
  </si>
  <si>
    <t>Reinvestment rate</t>
  </si>
  <si>
    <t>~0%</t>
  </si>
  <si>
    <t>&gt;5%</t>
  </si>
  <si>
    <t>&gt;15%</t>
  </si>
  <si>
    <t>Completed positions → new stake</t>
  </si>
  <si>
    <t>Support tickets / user / month</t>
  </si>
  <si>
    <t>Высокий</t>
  </si>
  <si>
    <t>-30%</t>
  </si>
  <si>
    <t>-50%</t>
  </si>
  <si>
    <t>Zendesk / Intercom volume</t>
  </si>
  <si>
    <t>NPS (новые users)</t>
  </si>
  <si>
    <t>N/A</t>
  </si>
  <si>
    <t>Baseline</t>
  </si>
  <si>
    <t>&gt;40</t>
  </si>
  <si>
    <t>In-app survey после 30 дней</t>
  </si>
  <si>
    <t>Bounce rate на Participate</t>
  </si>
  <si>
    <t>&lt;40%</t>
  </si>
  <si>
    <t>&lt;30%</t>
  </si>
  <si>
    <t>Page analytics: visit без action</t>
  </si>
  <si>
    <t>Avg check (new users)</t>
  </si>
  <si>
    <t>~$500 (оценка)</t>
  </si>
  <si>
    <t>$700</t>
  </si>
  <si>
    <t>$1,000+</t>
  </si>
  <si>
    <t>First purchase amount</t>
  </si>
  <si>
    <t>HNW leads (&gt;$5k)</t>
  </si>
  <si>
    <t>~0 через платформу</t>
  </si>
  <si>
    <t>2–3 / мес</t>
  </si>
  <si>
    <t>5+ / мес</t>
  </si>
  <si>
    <t>OTC CTA clicks + form submissions</t>
  </si>
  <si>
    <t>AYNI GOLD - Полный роадмап продукта. Старт: 3 марта 2026</t>
  </si>
  <si>
    <t>-</t>
  </si>
  <si>
    <t>Нет данных - все решения на ощущениях. Невозможно измерить эффект любых изменений</t>
  </si>
  <si>
    <t>Нет юридической связи - главный red flag для HNW и due diligence. Фактическая аффилированность без документа</t>
  </si>
  <si>
    <t>6 пунктов: Dashboard/Staking/Token Stats/Leaderboard/Help/Buy AYNI - крипто-жаргон, Web2 теряется</t>
  </si>
  <si>
    <t>Staking/rewards/earn/invest - триггерят securities regulation. Юридический риск</t>
  </si>
  <si>
    <t>Dashboard показывает цены токенов и «0.009033g gold production» - пользователь не понимает свою выгоду</t>
  </si>
  <si>
    <t>Пользователь не видит прогноз до покупки - принимает решение вслепую</t>
  </si>
  <si>
    <t>Минимум 12 мес - слишком высокий барьер для Web2-новичков</t>
  </si>
  <si>
    <t>Slider: 6/12/24/36/48 мес с snap points. 6 мес - отдельная экономика (менее привлекательная, но entry)</t>
  </si>
  <si>
    <t>Теряем крупных клиентов - нет канала в интерфейсе</t>
  </si>
  <si>
    <t>Технические ID (S-20260127...), суммы в PAXG, красный текст Claim dates - непонятно Web2</t>
  </si>
  <si>
    <t>Анонимный дашборд - нет ощущения community, нет FOMO</t>
  </si>
  <si>
    <t>$1.17/day badge, 66-day countdown ring к выплате. Retention trigger - видеть рост каждый день</t>
  </si>
  <si>
    <t>4 видео + 5 FAQ - минимум контента. Users не понимают продукт</t>
  </si>
  <si>
    <t>Карточки Learn без видео - пустые placeholder-ы</t>
  </si>
  <si>
    <t>My Mine - Level 1 с progression + upsell</t>
  </si>
  <si>
    <t>Whitepaper v0.4 - финализация</t>
  </si>
  <si>
    <t>Reinvest кнопка в UI, но swap не реализован - пользователь уходит на внешний DEX</t>
  </si>
  <si>
    <t>Сложно моделировать сумму - только однонаправленный ввод</t>
  </si>
  <si>
    <t>Не знаем реальных pain points - всё на ощущениях</t>
  </si>
  <si>
    <t>Нет мотивации расти и оставаться. My Mine - только визуал</t>
  </si>
  <si>
    <t>Swap только через внешний DEX - теряем пользователей</t>
  </si>
  <si>
    <t>«Participating with more than $5,000? Contact our team →» +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</si>
</sst>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B3A4B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0000"/>
      <name val="Arial"/>
      <charset val="1"/>
    </font>
    <font>
      <b/>
      <sz val="10"/>
      <name val="Arial"/>
      <charset val="1"/>
    </font>
    <font>
      <b/>
      <sz val="10"/>
      <color rgb="FFC55A11"/>
      <name val="Arial"/>
      <charset val="1"/>
    </font>
    <font>
      <b/>
      <sz val="10"/>
      <color rgb="FF1B3A4B"/>
      <name val="Arial"/>
      <charset val="1"/>
    </font>
    <font>
      <sz val="10"/>
      <color rgb="FF808080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DAEEF3"/>
        <bgColor rgb="FFE2EFDA"/>
      </patternFill>
    </fill>
    <fill>
      <patternFill patternType="solid">
        <fgColor rgb="FFE2EFDA"/>
        <bgColor rgb="FFDAEEF3"/>
      </patternFill>
    </fill>
    <fill>
      <patternFill patternType="solid">
        <fgColor rgb="FFFFF2CC"/>
        <bgColor rgb="FFF5EFD7"/>
      </patternFill>
    </fill>
    <fill>
      <patternFill patternType="solid">
        <fgColor rgb="FFF5EFD7"/>
        <bgColor rgb="FFFFF2CC"/>
      </patternFill>
    </fill>
    <fill>
      <patternFill patternType="solid">
        <fgColor rgb="FFFCE4D6"/>
        <bgColor rgb="FFF5EFD7"/>
      </patternFill>
    </fill>
    <fill>
      <patternFill patternType="solid">
        <fgColor rgb="FFE8E0F0"/>
        <bgColor rgb="FFD9D9D9"/>
      </patternFill>
    </fill>
    <fill>
      <patternFill patternType="solid">
        <fgColor rgb="FFD9D9D9"/>
        <bgColor rgb="FFE8E0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2" fontId="6" fillId="3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2" fontId="6" fillId="4" borderId="1" xfId="0" applyNumberFormat="1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2" fontId="6" fillId="5" borderId="1" xfId="0" applyNumberFormat="1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2" fontId="6" fillId="6" borderId="1" xfId="0" applyNumberFormat="1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2" fontId="6" fillId="7" borderId="1" xfId="0" applyNumberFormat="1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2" fontId="6" fillId="8" borderId="1" xfId="0" applyNumberFormat="1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2" fontId="6" fillId="9" borderId="1" xfId="0" applyNumberFormat="1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0" fillId="0" borderId="0" xfId="0" applyFont="1"/>
    <xf numFmtId="0" fontId="10" fillId="0" borderId="1" xfId="0" applyFont="1" applyBorder="1"/>
    <xf numFmtId="0" fontId="11" fillId="4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0F0"/>
      <rgbColor rgb="FFE2EFDA"/>
      <rgbColor rgb="FFF5EFD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zoomScaleNormal="100" workbookViewId="0">
      <pane ySplit="4" topLeftCell="A7" activePane="bottomLeft" state="frozen"/>
      <selection pane="bottomLeft" activeCell="H17" sqref="H17"/>
    </sheetView>
  </sheetViews>
  <sheetFormatPr baseColWidth="10" defaultColWidth="8.6640625" defaultRowHeight="15" x14ac:dyDescent="0.2"/>
  <cols>
    <col min="1" max="1" width="4" customWidth="1"/>
    <col min="2" max="2" width="10" customWidth="1"/>
    <col min="3" max="3" width="14" customWidth="1"/>
    <col min="4" max="4" width="4" customWidth="1"/>
    <col min="5" max="5" width="16" customWidth="1"/>
    <col min="6" max="6" width="10" customWidth="1"/>
    <col min="7" max="7" width="44" customWidth="1"/>
    <col min="8" max="8" width="40" customWidth="1"/>
    <col min="9" max="9" width="48" customWidth="1"/>
    <col min="10" max="13" width="7" customWidth="1"/>
    <col min="14" max="14" width="16" customWidth="1"/>
    <col min="15" max="15" width="20" customWidth="1"/>
  </cols>
  <sheetData>
    <row r="1" spans="1:15" ht="18" x14ac:dyDescent="0.2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ht="42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</row>
    <row r="5" spans="1:15" ht="28" x14ac:dyDescent="0.2">
      <c r="A5" s="4">
        <v>1</v>
      </c>
      <c r="B5" s="4" t="s">
        <v>16</v>
      </c>
      <c r="C5" s="4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>
        <v>10</v>
      </c>
      <c r="K5" s="4">
        <v>1</v>
      </c>
      <c r="L5" s="4">
        <v>10</v>
      </c>
      <c r="M5" s="6">
        <f t="shared" ref="M5:M50" si="0">J5*K5/L5</f>
        <v>1</v>
      </c>
      <c r="N5" s="4" t="s">
        <v>24</v>
      </c>
      <c r="O5" s="4" t="s">
        <v>303</v>
      </c>
    </row>
    <row r="6" spans="1:15" ht="42" x14ac:dyDescent="0.2">
      <c r="A6" s="4">
        <v>2</v>
      </c>
      <c r="B6" s="4" t="s">
        <v>16</v>
      </c>
      <c r="C6" s="4" t="s">
        <v>17</v>
      </c>
      <c r="D6" s="5" t="s">
        <v>18</v>
      </c>
      <c r="E6" s="4" t="s">
        <v>25</v>
      </c>
      <c r="F6" s="4" t="s">
        <v>20</v>
      </c>
      <c r="G6" s="4" t="s">
        <v>26</v>
      </c>
      <c r="H6" s="38" t="s">
        <v>304</v>
      </c>
      <c r="I6" s="4" t="s">
        <v>27</v>
      </c>
      <c r="J6" s="4">
        <v>9</v>
      </c>
      <c r="K6" s="4">
        <v>1</v>
      </c>
      <c r="L6" s="4">
        <v>3</v>
      </c>
      <c r="M6" s="6">
        <f t="shared" si="0"/>
        <v>3</v>
      </c>
      <c r="N6" s="4" t="s">
        <v>28</v>
      </c>
      <c r="O6" s="4" t="s">
        <v>303</v>
      </c>
    </row>
    <row r="7" spans="1:15" ht="42" x14ac:dyDescent="0.2">
      <c r="A7" s="4">
        <v>3</v>
      </c>
      <c r="B7" s="4" t="s">
        <v>16</v>
      </c>
      <c r="C7" s="4" t="s">
        <v>17</v>
      </c>
      <c r="D7" s="5" t="s">
        <v>18</v>
      </c>
      <c r="E7" s="4" t="s">
        <v>29</v>
      </c>
      <c r="F7" s="4" t="s">
        <v>30</v>
      </c>
      <c r="G7" s="4" t="s">
        <v>31</v>
      </c>
      <c r="H7" s="4" t="s">
        <v>305</v>
      </c>
      <c r="I7" s="4" t="s">
        <v>32</v>
      </c>
      <c r="J7" s="4">
        <v>10</v>
      </c>
      <c r="K7" s="4">
        <v>0.8</v>
      </c>
      <c r="L7" s="4">
        <v>4</v>
      </c>
      <c r="M7" s="6">
        <f t="shared" si="0"/>
        <v>2</v>
      </c>
      <c r="N7" s="4" t="s">
        <v>33</v>
      </c>
      <c r="O7" s="4" t="s">
        <v>303</v>
      </c>
    </row>
    <row r="8" spans="1:15" ht="28" x14ac:dyDescent="0.2">
      <c r="A8" s="7">
        <v>5</v>
      </c>
      <c r="B8" s="7" t="s">
        <v>36</v>
      </c>
      <c r="C8" s="7" t="s">
        <v>37</v>
      </c>
      <c r="D8" s="8" t="s">
        <v>18</v>
      </c>
      <c r="E8" s="7" t="s">
        <v>38</v>
      </c>
      <c r="F8" s="7" t="s">
        <v>39</v>
      </c>
      <c r="G8" s="7" t="s">
        <v>40</v>
      </c>
      <c r="H8" s="7"/>
      <c r="I8" s="7"/>
      <c r="J8" s="7">
        <v>9</v>
      </c>
      <c r="K8" s="7">
        <v>1</v>
      </c>
      <c r="L8" s="7">
        <v>6</v>
      </c>
      <c r="M8" s="9">
        <f t="shared" si="0"/>
        <v>1.5</v>
      </c>
      <c r="N8" s="7" t="s">
        <v>35</v>
      </c>
      <c r="O8" s="7" t="s">
        <v>41</v>
      </c>
    </row>
    <row r="9" spans="1:15" ht="42" x14ac:dyDescent="0.2">
      <c r="A9" s="7">
        <v>6</v>
      </c>
      <c r="B9" s="7" t="s">
        <v>36</v>
      </c>
      <c r="C9" s="7" t="s">
        <v>37</v>
      </c>
      <c r="D9" s="8" t="s">
        <v>18</v>
      </c>
      <c r="E9" s="7" t="s">
        <v>42</v>
      </c>
      <c r="F9" s="7" t="s">
        <v>39</v>
      </c>
      <c r="G9" s="7" t="s">
        <v>43</v>
      </c>
      <c r="H9" s="7" t="s">
        <v>306</v>
      </c>
      <c r="I9" s="7" t="s">
        <v>44</v>
      </c>
      <c r="J9" s="7">
        <v>8</v>
      </c>
      <c r="K9" s="7">
        <v>1</v>
      </c>
      <c r="L9" s="7">
        <v>3</v>
      </c>
      <c r="M9" s="9">
        <f t="shared" si="0"/>
        <v>2.6666666666666665</v>
      </c>
      <c r="N9" s="7" t="s">
        <v>28</v>
      </c>
      <c r="O9" s="7" t="s">
        <v>41</v>
      </c>
    </row>
    <row r="10" spans="1:15" ht="28" x14ac:dyDescent="0.2">
      <c r="A10" s="7">
        <v>7</v>
      </c>
      <c r="B10" s="7" t="s">
        <v>36</v>
      </c>
      <c r="C10" s="7" t="s">
        <v>37</v>
      </c>
      <c r="D10" s="8" t="s">
        <v>18</v>
      </c>
      <c r="E10" s="7" t="s">
        <v>29</v>
      </c>
      <c r="F10" s="7" t="s">
        <v>45</v>
      </c>
      <c r="G10" s="7" t="s">
        <v>46</v>
      </c>
      <c r="H10" s="7" t="s">
        <v>307</v>
      </c>
      <c r="I10" s="7" t="s">
        <v>47</v>
      </c>
      <c r="J10" s="7">
        <v>9</v>
      </c>
      <c r="K10" s="7">
        <v>1</v>
      </c>
      <c r="L10" s="7">
        <v>2</v>
      </c>
      <c r="M10" s="9">
        <f t="shared" si="0"/>
        <v>4.5</v>
      </c>
      <c r="N10" s="7" t="s">
        <v>48</v>
      </c>
      <c r="O10" s="7" t="s">
        <v>303</v>
      </c>
    </row>
    <row r="11" spans="1:15" ht="42" x14ac:dyDescent="0.2">
      <c r="A11" s="7">
        <v>8</v>
      </c>
      <c r="B11" s="7" t="s">
        <v>36</v>
      </c>
      <c r="C11" s="7" t="s">
        <v>37</v>
      </c>
      <c r="D11" s="10" t="s">
        <v>34</v>
      </c>
      <c r="E11" s="7" t="s">
        <v>42</v>
      </c>
      <c r="F11" s="7" t="s">
        <v>39</v>
      </c>
      <c r="G11" s="7" t="s">
        <v>49</v>
      </c>
      <c r="H11" s="37" t="s">
        <v>308</v>
      </c>
      <c r="I11" s="7" t="s">
        <v>50</v>
      </c>
      <c r="J11" s="7">
        <v>9</v>
      </c>
      <c r="K11" s="7">
        <v>1</v>
      </c>
      <c r="L11" s="7">
        <v>5</v>
      </c>
      <c r="M11" s="9">
        <f t="shared" si="0"/>
        <v>1.8</v>
      </c>
      <c r="N11" s="7" t="s">
        <v>51</v>
      </c>
      <c r="O11" s="7" t="s">
        <v>52</v>
      </c>
    </row>
    <row r="12" spans="1:15" ht="42" x14ac:dyDescent="0.2">
      <c r="A12" s="11">
        <v>9</v>
      </c>
      <c r="B12" s="11" t="s">
        <v>53</v>
      </c>
      <c r="C12" s="11" t="s">
        <v>54</v>
      </c>
      <c r="D12" s="12" t="s">
        <v>18</v>
      </c>
      <c r="E12" s="11" t="s">
        <v>55</v>
      </c>
      <c r="F12" s="11" t="s">
        <v>39</v>
      </c>
      <c r="G12" s="11" t="s">
        <v>56</v>
      </c>
      <c r="H12" s="11" t="s">
        <v>57</v>
      </c>
      <c r="I12" s="11" t="s">
        <v>58</v>
      </c>
      <c r="J12" s="11">
        <v>10</v>
      </c>
      <c r="K12" s="11">
        <v>1</v>
      </c>
      <c r="L12" s="11">
        <v>5</v>
      </c>
      <c r="M12" s="13">
        <f t="shared" si="0"/>
        <v>2</v>
      </c>
      <c r="N12" s="11" t="s">
        <v>28</v>
      </c>
      <c r="O12" s="11" t="s">
        <v>41</v>
      </c>
    </row>
    <row r="13" spans="1:15" ht="28" x14ac:dyDescent="0.2">
      <c r="A13" s="11">
        <v>10</v>
      </c>
      <c r="B13" s="11" t="s">
        <v>53</v>
      </c>
      <c r="C13" s="11" t="s">
        <v>54</v>
      </c>
      <c r="D13" s="14" t="s">
        <v>34</v>
      </c>
      <c r="E13" s="11" t="s">
        <v>55</v>
      </c>
      <c r="F13" s="11" t="s">
        <v>59</v>
      </c>
      <c r="G13" s="11" t="s">
        <v>60</v>
      </c>
      <c r="H13" s="11" t="s">
        <v>309</v>
      </c>
      <c r="I13" s="11" t="s">
        <v>61</v>
      </c>
      <c r="J13" s="11">
        <v>9</v>
      </c>
      <c r="K13" s="11">
        <v>1</v>
      </c>
      <c r="L13" s="11">
        <v>4</v>
      </c>
      <c r="M13" s="13">
        <f t="shared" si="0"/>
        <v>2.25</v>
      </c>
      <c r="N13" s="11" t="s">
        <v>51</v>
      </c>
      <c r="O13" s="11" t="s">
        <v>62</v>
      </c>
    </row>
    <row r="14" spans="1:15" ht="28" x14ac:dyDescent="0.2">
      <c r="A14" s="11">
        <v>11</v>
      </c>
      <c r="B14" s="11" t="s">
        <v>53</v>
      </c>
      <c r="C14" s="11" t="s">
        <v>54</v>
      </c>
      <c r="D14" s="14" t="s">
        <v>34</v>
      </c>
      <c r="E14" s="11" t="s">
        <v>55</v>
      </c>
      <c r="F14" s="11" t="s">
        <v>59</v>
      </c>
      <c r="G14" s="11" t="s">
        <v>63</v>
      </c>
      <c r="H14" s="11" t="s">
        <v>310</v>
      </c>
      <c r="I14" s="11" t="s">
        <v>311</v>
      </c>
      <c r="J14" s="11">
        <v>7</v>
      </c>
      <c r="K14" s="11">
        <v>1</v>
      </c>
      <c r="L14" s="11">
        <v>2</v>
      </c>
      <c r="M14" s="13">
        <f t="shared" si="0"/>
        <v>3.5</v>
      </c>
      <c r="N14" s="11" t="s">
        <v>28</v>
      </c>
      <c r="O14" s="11" t="s">
        <v>62</v>
      </c>
    </row>
    <row r="15" spans="1:15" ht="42" x14ac:dyDescent="0.2">
      <c r="A15" s="11">
        <v>12</v>
      </c>
      <c r="B15" s="11" t="s">
        <v>53</v>
      </c>
      <c r="C15" s="11" t="s">
        <v>54</v>
      </c>
      <c r="D15" s="14" t="s">
        <v>34</v>
      </c>
      <c r="E15" s="11" t="s">
        <v>55</v>
      </c>
      <c r="F15" s="11" t="s">
        <v>42</v>
      </c>
      <c r="G15" s="11" t="s">
        <v>64</v>
      </c>
      <c r="H15" s="11" t="s">
        <v>65</v>
      </c>
      <c r="I15" s="11" t="s">
        <v>66</v>
      </c>
      <c r="J15" s="11">
        <v>8</v>
      </c>
      <c r="K15" s="11">
        <v>1</v>
      </c>
      <c r="L15" s="11">
        <v>3</v>
      </c>
      <c r="M15" s="13">
        <f t="shared" si="0"/>
        <v>2.6666666666666665</v>
      </c>
      <c r="N15" s="11" t="s">
        <v>51</v>
      </c>
      <c r="O15" s="11" t="s">
        <v>303</v>
      </c>
    </row>
    <row r="16" spans="1:15" ht="28" x14ac:dyDescent="0.2">
      <c r="A16" s="11">
        <v>13</v>
      </c>
      <c r="B16" s="11" t="s">
        <v>53</v>
      </c>
      <c r="C16" s="11" t="s">
        <v>54</v>
      </c>
      <c r="D16" s="14" t="s">
        <v>34</v>
      </c>
      <c r="E16" s="11" t="s">
        <v>55</v>
      </c>
      <c r="F16" s="11" t="s">
        <v>42</v>
      </c>
      <c r="G16" s="11" t="s">
        <v>67</v>
      </c>
      <c r="H16" s="11" t="s">
        <v>312</v>
      </c>
      <c r="I16" s="39" t="s">
        <v>325</v>
      </c>
      <c r="J16" s="11">
        <v>6</v>
      </c>
      <c r="K16" s="11">
        <v>0.8</v>
      </c>
      <c r="L16" s="11">
        <v>2</v>
      </c>
      <c r="M16" s="13">
        <f t="shared" si="0"/>
        <v>2.4000000000000004</v>
      </c>
      <c r="N16" s="11" t="s">
        <v>68</v>
      </c>
      <c r="O16" s="11" t="s">
        <v>303</v>
      </c>
    </row>
    <row r="17" spans="1:15" ht="56" x14ac:dyDescent="0.2">
      <c r="A17" s="15">
        <v>14</v>
      </c>
      <c r="B17" s="15" t="s">
        <v>69</v>
      </c>
      <c r="C17" s="15" t="s">
        <v>70</v>
      </c>
      <c r="D17" s="16" t="s">
        <v>18</v>
      </c>
      <c r="E17" s="15" t="s">
        <v>71</v>
      </c>
      <c r="F17" s="15" t="s">
        <v>59</v>
      </c>
      <c r="G17" s="15" t="s">
        <v>72</v>
      </c>
      <c r="H17" s="15" t="s">
        <v>73</v>
      </c>
      <c r="I17" s="15" t="s">
        <v>74</v>
      </c>
      <c r="J17" s="15">
        <v>10</v>
      </c>
      <c r="K17" s="15">
        <v>1</v>
      </c>
      <c r="L17" s="15">
        <v>6</v>
      </c>
      <c r="M17" s="17">
        <f t="shared" si="0"/>
        <v>1.6666666666666667</v>
      </c>
      <c r="N17" s="15" t="s">
        <v>28</v>
      </c>
      <c r="O17" s="15" t="s">
        <v>41</v>
      </c>
    </row>
    <row r="18" spans="1:15" ht="42" x14ac:dyDescent="0.2">
      <c r="A18" s="15">
        <v>15</v>
      </c>
      <c r="B18" s="15" t="s">
        <v>69</v>
      </c>
      <c r="C18" s="15" t="s">
        <v>70</v>
      </c>
      <c r="D18" s="18" t="s">
        <v>34</v>
      </c>
      <c r="E18" s="15" t="s">
        <v>42</v>
      </c>
      <c r="F18" s="15" t="s">
        <v>39</v>
      </c>
      <c r="G18" s="15" t="s">
        <v>75</v>
      </c>
      <c r="H18" s="15" t="s">
        <v>313</v>
      </c>
      <c r="I18" s="15" t="s">
        <v>76</v>
      </c>
      <c r="J18" s="15">
        <v>8</v>
      </c>
      <c r="K18" s="15">
        <v>1</v>
      </c>
      <c r="L18" s="15">
        <v>5</v>
      </c>
      <c r="M18" s="17">
        <f t="shared" si="0"/>
        <v>1.6</v>
      </c>
      <c r="N18" s="15" t="s">
        <v>51</v>
      </c>
      <c r="O18" s="15" t="s">
        <v>41</v>
      </c>
    </row>
    <row r="19" spans="1:15" ht="28" x14ac:dyDescent="0.2">
      <c r="A19" s="15">
        <v>16</v>
      </c>
      <c r="B19" s="15" t="s">
        <v>69</v>
      </c>
      <c r="C19" s="15" t="s">
        <v>70</v>
      </c>
      <c r="D19" s="18" t="s">
        <v>34</v>
      </c>
      <c r="E19" s="15" t="s">
        <v>77</v>
      </c>
      <c r="F19" s="15" t="s">
        <v>59</v>
      </c>
      <c r="G19" s="15" t="s">
        <v>78</v>
      </c>
      <c r="H19" s="15" t="s">
        <v>314</v>
      </c>
      <c r="I19" s="15" t="s">
        <v>79</v>
      </c>
      <c r="J19" s="15">
        <v>7</v>
      </c>
      <c r="K19" s="15">
        <v>0.8</v>
      </c>
      <c r="L19" s="15">
        <v>2</v>
      </c>
      <c r="M19" s="17">
        <f t="shared" si="0"/>
        <v>2.8000000000000003</v>
      </c>
      <c r="N19" s="15" t="s">
        <v>51</v>
      </c>
      <c r="O19" s="15" t="s">
        <v>303</v>
      </c>
    </row>
    <row r="20" spans="1:15" ht="42" x14ac:dyDescent="0.2">
      <c r="A20" s="15">
        <v>17</v>
      </c>
      <c r="B20" s="15" t="s">
        <v>69</v>
      </c>
      <c r="C20" s="15" t="s">
        <v>70</v>
      </c>
      <c r="D20" s="18" t="s">
        <v>34</v>
      </c>
      <c r="E20" s="15" t="s">
        <v>42</v>
      </c>
      <c r="F20" s="15" t="s">
        <v>59</v>
      </c>
      <c r="G20" s="15" t="s">
        <v>80</v>
      </c>
      <c r="H20" s="15" t="s">
        <v>81</v>
      </c>
      <c r="I20" s="15" t="s">
        <v>315</v>
      </c>
      <c r="J20" s="15">
        <v>7</v>
      </c>
      <c r="K20" s="15">
        <v>1</v>
      </c>
      <c r="L20" s="15">
        <v>3</v>
      </c>
      <c r="M20" s="17">
        <f t="shared" si="0"/>
        <v>2.3333333333333335</v>
      </c>
      <c r="N20" s="15" t="s">
        <v>51</v>
      </c>
      <c r="O20" s="15" t="s">
        <v>82</v>
      </c>
    </row>
    <row r="21" spans="1:15" ht="42" x14ac:dyDescent="0.2">
      <c r="A21" s="19">
        <v>18</v>
      </c>
      <c r="B21" s="19" t="s">
        <v>83</v>
      </c>
      <c r="C21" s="19" t="s">
        <v>84</v>
      </c>
      <c r="D21" s="20" t="s">
        <v>34</v>
      </c>
      <c r="E21" s="19" t="s">
        <v>85</v>
      </c>
      <c r="F21" s="19" t="s">
        <v>39</v>
      </c>
      <c r="G21" s="19" t="s">
        <v>86</v>
      </c>
      <c r="H21" s="19" t="s">
        <v>316</v>
      </c>
      <c r="I21" s="19" t="s">
        <v>87</v>
      </c>
      <c r="J21" s="19">
        <v>8</v>
      </c>
      <c r="K21" s="19">
        <v>0.8</v>
      </c>
      <c r="L21" s="19">
        <v>3</v>
      </c>
      <c r="M21" s="21">
        <f t="shared" si="0"/>
        <v>2.1333333333333333</v>
      </c>
      <c r="N21" s="19" t="s">
        <v>88</v>
      </c>
      <c r="O21" s="19" t="s">
        <v>41</v>
      </c>
    </row>
    <row r="22" spans="1:15" ht="28" x14ac:dyDescent="0.2">
      <c r="A22" s="19">
        <v>19</v>
      </c>
      <c r="B22" s="19" t="s">
        <v>83</v>
      </c>
      <c r="C22" s="19" t="s">
        <v>84</v>
      </c>
      <c r="D22" s="20" t="s">
        <v>34</v>
      </c>
      <c r="E22" s="19" t="s">
        <v>85</v>
      </c>
      <c r="F22" s="19" t="s">
        <v>45</v>
      </c>
      <c r="G22" s="19" t="s">
        <v>89</v>
      </c>
      <c r="H22" s="19" t="s">
        <v>317</v>
      </c>
      <c r="I22" s="19" t="s">
        <v>90</v>
      </c>
      <c r="J22" s="19">
        <v>7</v>
      </c>
      <c r="K22" s="19">
        <v>0.8</v>
      </c>
      <c r="L22" s="19">
        <v>2</v>
      </c>
      <c r="M22" s="21">
        <f t="shared" si="0"/>
        <v>2.8000000000000003</v>
      </c>
      <c r="N22" s="19" t="s">
        <v>91</v>
      </c>
      <c r="O22" s="19" t="s">
        <v>92</v>
      </c>
    </row>
    <row r="23" spans="1:15" ht="42" x14ac:dyDescent="0.2">
      <c r="A23" s="19">
        <v>20</v>
      </c>
      <c r="B23" s="19" t="s">
        <v>83</v>
      </c>
      <c r="C23" s="19" t="s">
        <v>84</v>
      </c>
      <c r="D23" s="20" t="s">
        <v>34</v>
      </c>
      <c r="E23" s="19" t="s">
        <v>42</v>
      </c>
      <c r="F23" s="19" t="s">
        <v>39</v>
      </c>
      <c r="G23" s="19" t="s">
        <v>93</v>
      </c>
      <c r="H23" s="19" t="s">
        <v>94</v>
      </c>
      <c r="I23" s="19" t="s">
        <v>95</v>
      </c>
      <c r="J23" s="19">
        <v>6</v>
      </c>
      <c r="K23" s="19">
        <v>1</v>
      </c>
      <c r="L23" s="19">
        <v>3</v>
      </c>
      <c r="M23" s="21">
        <f t="shared" si="0"/>
        <v>2</v>
      </c>
      <c r="N23" s="19" t="s">
        <v>51</v>
      </c>
      <c r="O23" s="19" t="s">
        <v>41</v>
      </c>
    </row>
    <row r="24" spans="1:15" ht="28" x14ac:dyDescent="0.2">
      <c r="A24" s="19">
        <v>21</v>
      </c>
      <c r="B24" s="19" t="s">
        <v>83</v>
      </c>
      <c r="C24" s="19" t="s">
        <v>84</v>
      </c>
      <c r="D24" s="20" t="s">
        <v>34</v>
      </c>
      <c r="E24" s="19" t="s">
        <v>96</v>
      </c>
      <c r="F24" s="19" t="s">
        <v>59</v>
      </c>
      <c r="G24" s="19" t="s">
        <v>318</v>
      </c>
      <c r="H24" s="19" t="s">
        <v>97</v>
      </c>
      <c r="I24" s="19" t="s">
        <v>98</v>
      </c>
      <c r="J24" s="19">
        <v>6</v>
      </c>
      <c r="K24" s="19">
        <v>0.8</v>
      </c>
      <c r="L24" s="19">
        <v>4</v>
      </c>
      <c r="M24" s="21">
        <f t="shared" si="0"/>
        <v>1.2000000000000002</v>
      </c>
      <c r="N24" s="19" t="s">
        <v>28</v>
      </c>
      <c r="O24" s="19" t="s">
        <v>303</v>
      </c>
    </row>
    <row r="25" spans="1:15" ht="28" x14ac:dyDescent="0.2">
      <c r="A25" s="19">
        <v>22</v>
      </c>
      <c r="B25" s="19" t="s">
        <v>83</v>
      </c>
      <c r="C25" s="19" t="s">
        <v>84</v>
      </c>
      <c r="D25" s="22" t="s">
        <v>99</v>
      </c>
      <c r="E25" s="19" t="s">
        <v>71</v>
      </c>
      <c r="F25" s="19" t="s">
        <v>45</v>
      </c>
      <c r="G25" s="19" t="s">
        <v>319</v>
      </c>
      <c r="H25" s="19" t="s">
        <v>100</v>
      </c>
      <c r="I25" s="19" t="s">
        <v>101</v>
      </c>
      <c r="J25" s="19">
        <v>6</v>
      </c>
      <c r="K25" s="19">
        <v>0.8</v>
      </c>
      <c r="L25" s="19">
        <v>2</v>
      </c>
      <c r="M25" s="21">
        <f t="shared" si="0"/>
        <v>2.4000000000000004</v>
      </c>
      <c r="N25" s="19" t="s">
        <v>102</v>
      </c>
      <c r="O25" s="19" t="s">
        <v>303</v>
      </c>
    </row>
    <row r="26" spans="1:15" ht="28" x14ac:dyDescent="0.2">
      <c r="A26" s="23">
        <v>23</v>
      </c>
      <c r="B26" s="23" t="s">
        <v>103</v>
      </c>
      <c r="C26" s="23" t="s">
        <v>104</v>
      </c>
      <c r="D26" s="24" t="s">
        <v>34</v>
      </c>
      <c r="E26" s="23" t="s">
        <v>105</v>
      </c>
      <c r="F26" s="23" t="s">
        <v>59</v>
      </c>
      <c r="G26" s="23" t="s">
        <v>106</v>
      </c>
      <c r="H26" s="23" t="s">
        <v>107</v>
      </c>
      <c r="I26" s="23" t="s">
        <v>108</v>
      </c>
      <c r="J26" s="23">
        <v>7</v>
      </c>
      <c r="K26" s="23">
        <v>0.8</v>
      </c>
      <c r="L26" s="23">
        <v>3</v>
      </c>
      <c r="M26" s="25">
        <f t="shared" si="0"/>
        <v>1.8666666666666669</v>
      </c>
      <c r="N26" s="23" t="s">
        <v>51</v>
      </c>
      <c r="O26" s="23" t="s">
        <v>303</v>
      </c>
    </row>
    <row r="27" spans="1:15" ht="28" x14ac:dyDescent="0.2">
      <c r="A27" s="23">
        <v>24</v>
      </c>
      <c r="B27" s="23" t="s">
        <v>103</v>
      </c>
      <c r="C27" s="23" t="s">
        <v>104</v>
      </c>
      <c r="D27" s="24" t="s">
        <v>34</v>
      </c>
      <c r="E27" s="23" t="s">
        <v>109</v>
      </c>
      <c r="F27" s="23" t="s">
        <v>59</v>
      </c>
      <c r="G27" s="23" t="s">
        <v>110</v>
      </c>
      <c r="H27" s="23" t="s">
        <v>320</v>
      </c>
      <c r="I27" s="23" t="s">
        <v>111</v>
      </c>
      <c r="J27" s="23">
        <v>8</v>
      </c>
      <c r="K27" s="23">
        <v>0.8</v>
      </c>
      <c r="L27" s="23">
        <v>5</v>
      </c>
      <c r="M27" s="25">
        <f t="shared" si="0"/>
        <v>1.28</v>
      </c>
      <c r="N27" s="23" t="s">
        <v>51</v>
      </c>
      <c r="O27" s="23" t="s">
        <v>112</v>
      </c>
    </row>
    <row r="28" spans="1:15" ht="28" x14ac:dyDescent="0.2">
      <c r="A28" s="23">
        <v>25</v>
      </c>
      <c r="B28" s="23" t="s">
        <v>103</v>
      </c>
      <c r="C28" s="23" t="s">
        <v>104</v>
      </c>
      <c r="D28" s="24" t="s">
        <v>34</v>
      </c>
      <c r="E28" s="23" t="s">
        <v>113</v>
      </c>
      <c r="F28" s="23" t="s">
        <v>42</v>
      </c>
      <c r="G28" s="23" t="s">
        <v>114</v>
      </c>
      <c r="H28" s="23" t="s">
        <v>321</v>
      </c>
      <c r="I28" s="23" t="s">
        <v>115</v>
      </c>
      <c r="J28" s="23">
        <v>7</v>
      </c>
      <c r="K28" s="23">
        <v>1</v>
      </c>
      <c r="L28" s="23">
        <v>3</v>
      </c>
      <c r="M28" s="25">
        <f t="shared" si="0"/>
        <v>2.3333333333333335</v>
      </c>
      <c r="N28" s="23" t="s">
        <v>51</v>
      </c>
      <c r="O28" s="23" t="s">
        <v>62</v>
      </c>
    </row>
    <row r="29" spans="1:15" ht="28" x14ac:dyDescent="0.2">
      <c r="A29" s="23">
        <v>26</v>
      </c>
      <c r="B29" s="23" t="s">
        <v>103</v>
      </c>
      <c r="C29" s="23" t="s">
        <v>104</v>
      </c>
      <c r="D29" s="26" t="s">
        <v>99</v>
      </c>
      <c r="E29" s="23" t="s">
        <v>116</v>
      </c>
      <c r="F29" s="23" t="s">
        <v>117</v>
      </c>
      <c r="G29" s="23" t="s">
        <v>118</v>
      </c>
      <c r="H29" s="23" t="s">
        <v>322</v>
      </c>
      <c r="I29" s="23" t="s">
        <v>119</v>
      </c>
      <c r="J29" s="23">
        <v>6</v>
      </c>
      <c r="K29" s="23">
        <v>1</v>
      </c>
      <c r="L29" s="23">
        <v>2</v>
      </c>
      <c r="M29" s="25">
        <f t="shared" si="0"/>
        <v>3</v>
      </c>
      <c r="N29" s="23" t="s">
        <v>120</v>
      </c>
      <c r="O29" s="23" t="s">
        <v>303</v>
      </c>
    </row>
    <row r="30" spans="1:15" ht="28" x14ac:dyDescent="0.2">
      <c r="A30" s="27">
        <v>27</v>
      </c>
      <c r="B30" s="27" t="s">
        <v>121</v>
      </c>
      <c r="C30" s="27" t="s">
        <v>122</v>
      </c>
      <c r="D30" s="28" t="s">
        <v>34</v>
      </c>
      <c r="E30" s="27" t="s">
        <v>19</v>
      </c>
      <c r="F30" s="27" t="s">
        <v>59</v>
      </c>
      <c r="G30" s="27" t="s">
        <v>123</v>
      </c>
      <c r="H30" s="27" t="s">
        <v>124</v>
      </c>
      <c r="I30" s="27" t="s">
        <v>125</v>
      </c>
      <c r="J30" s="27">
        <v>8</v>
      </c>
      <c r="K30" s="27">
        <v>1</v>
      </c>
      <c r="L30" s="27">
        <v>9</v>
      </c>
      <c r="M30" s="29">
        <f t="shared" si="0"/>
        <v>0.88888888888888884</v>
      </c>
      <c r="N30" s="27" t="s">
        <v>51</v>
      </c>
      <c r="O30" s="27" t="s">
        <v>126</v>
      </c>
    </row>
    <row r="31" spans="1:15" ht="28" x14ac:dyDescent="0.2">
      <c r="A31" s="27">
        <v>28</v>
      </c>
      <c r="B31" s="27" t="s">
        <v>121</v>
      </c>
      <c r="C31" s="27" t="s">
        <v>122</v>
      </c>
      <c r="D31" s="28" t="s">
        <v>34</v>
      </c>
      <c r="E31" s="27" t="s">
        <v>127</v>
      </c>
      <c r="F31" s="27" t="s">
        <v>59</v>
      </c>
      <c r="G31" s="27" t="s">
        <v>128</v>
      </c>
      <c r="H31" s="27" t="s">
        <v>129</v>
      </c>
      <c r="I31" s="27" t="s">
        <v>130</v>
      </c>
      <c r="J31" s="27">
        <v>7</v>
      </c>
      <c r="K31" s="27">
        <v>0.8</v>
      </c>
      <c r="L31" s="27">
        <v>5</v>
      </c>
      <c r="M31" s="29">
        <f t="shared" si="0"/>
        <v>1.1200000000000001</v>
      </c>
      <c r="N31" s="27" t="s">
        <v>28</v>
      </c>
      <c r="O31" s="27" t="s">
        <v>303</v>
      </c>
    </row>
    <row r="32" spans="1:15" ht="28" x14ac:dyDescent="0.2">
      <c r="A32" s="27">
        <v>29</v>
      </c>
      <c r="B32" s="27" t="s">
        <v>121</v>
      </c>
      <c r="C32" s="27" t="s">
        <v>122</v>
      </c>
      <c r="D32" s="30" t="s">
        <v>99</v>
      </c>
      <c r="E32" s="27" t="s">
        <v>131</v>
      </c>
      <c r="F32" s="27" t="s">
        <v>59</v>
      </c>
      <c r="G32" s="27" t="s">
        <v>132</v>
      </c>
      <c r="H32" s="27" t="s">
        <v>133</v>
      </c>
      <c r="I32" s="27" t="s">
        <v>134</v>
      </c>
      <c r="J32" s="27">
        <v>4</v>
      </c>
      <c r="K32" s="27">
        <v>0.8</v>
      </c>
      <c r="L32" s="27">
        <v>2</v>
      </c>
      <c r="M32" s="29">
        <f t="shared" si="0"/>
        <v>1.6</v>
      </c>
      <c r="N32" s="27" t="s">
        <v>28</v>
      </c>
      <c r="O32" s="27" t="s">
        <v>303</v>
      </c>
    </row>
    <row r="33" spans="1:15" ht="28" x14ac:dyDescent="0.2">
      <c r="A33" s="27">
        <v>30</v>
      </c>
      <c r="B33" s="27" t="s">
        <v>135</v>
      </c>
      <c r="C33" s="27" t="s">
        <v>136</v>
      </c>
      <c r="D33" s="28" t="s">
        <v>34</v>
      </c>
      <c r="E33" s="27" t="s">
        <v>96</v>
      </c>
      <c r="F33" s="27" t="s">
        <v>59</v>
      </c>
      <c r="G33" s="27" t="s">
        <v>137</v>
      </c>
      <c r="H33" s="27" t="s">
        <v>138</v>
      </c>
      <c r="I33" s="27" t="s">
        <v>139</v>
      </c>
      <c r="J33" s="27">
        <v>8</v>
      </c>
      <c r="K33" s="27">
        <v>0.8</v>
      </c>
      <c r="L33" s="27">
        <v>7</v>
      </c>
      <c r="M33" s="29">
        <f t="shared" si="0"/>
        <v>0.91428571428571437</v>
      </c>
      <c r="N33" s="27" t="s">
        <v>28</v>
      </c>
      <c r="O33" s="27" t="s">
        <v>303</v>
      </c>
    </row>
    <row r="34" spans="1:15" ht="28" x14ac:dyDescent="0.2">
      <c r="A34" s="27">
        <v>31</v>
      </c>
      <c r="B34" s="27" t="s">
        <v>135</v>
      </c>
      <c r="C34" s="27" t="s">
        <v>136</v>
      </c>
      <c r="D34" s="28" t="s">
        <v>34</v>
      </c>
      <c r="E34" s="27" t="s">
        <v>140</v>
      </c>
      <c r="F34" s="27" t="s">
        <v>59</v>
      </c>
      <c r="G34" s="27" t="s">
        <v>141</v>
      </c>
      <c r="H34" s="27" t="s">
        <v>323</v>
      </c>
      <c r="I34" s="27" t="s">
        <v>142</v>
      </c>
      <c r="J34" s="27">
        <v>7</v>
      </c>
      <c r="K34" s="27">
        <v>0.8</v>
      </c>
      <c r="L34" s="27">
        <v>5</v>
      </c>
      <c r="M34" s="29">
        <f t="shared" si="0"/>
        <v>1.1200000000000001</v>
      </c>
      <c r="N34" s="27" t="s">
        <v>28</v>
      </c>
      <c r="O34" s="27" t="s">
        <v>143</v>
      </c>
    </row>
    <row r="35" spans="1:15" ht="28" x14ac:dyDescent="0.2">
      <c r="A35" s="27">
        <v>32</v>
      </c>
      <c r="B35" s="27" t="s">
        <v>144</v>
      </c>
      <c r="C35" s="27" t="s">
        <v>145</v>
      </c>
      <c r="D35" s="28" t="s">
        <v>34</v>
      </c>
      <c r="E35" s="27" t="s">
        <v>146</v>
      </c>
      <c r="F35" s="27" t="s">
        <v>59</v>
      </c>
      <c r="G35" s="27" t="s">
        <v>147</v>
      </c>
      <c r="H35" s="27" t="s">
        <v>148</v>
      </c>
      <c r="I35" s="27" t="s">
        <v>149</v>
      </c>
      <c r="J35" s="27">
        <v>7</v>
      </c>
      <c r="K35" s="27">
        <v>1</v>
      </c>
      <c r="L35" s="27">
        <v>8</v>
      </c>
      <c r="M35" s="29">
        <f t="shared" si="0"/>
        <v>0.875</v>
      </c>
      <c r="N35" s="27" t="s">
        <v>51</v>
      </c>
      <c r="O35" s="27" t="s">
        <v>303</v>
      </c>
    </row>
    <row r="36" spans="1:15" ht="28" x14ac:dyDescent="0.2">
      <c r="A36" s="27">
        <v>33</v>
      </c>
      <c r="B36" s="27" t="s">
        <v>144</v>
      </c>
      <c r="C36" s="27" t="s">
        <v>145</v>
      </c>
      <c r="D36" s="30" t="s">
        <v>99</v>
      </c>
      <c r="E36" s="27" t="s">
        <v>29</v>
      </c>
      <c r="F36" s="27" t="s">
        <v>30</v>
      </c>
      <c r="G36" s="27" t="s">
        <v>150</v>
      </c>
      <c r="H36" s="27" t="s">
        <v>151</v>
      </c>
      <c r="I36" s="27" t="s">
        <v>152</v>
      </c>
      <c r="J36" s="27">
        <v>8</v>
      </c>
      <c r="K36" s="27">
        <v>0.5</v>
      </c>
      <c r="L36" s="27">
        <v>6</v>
      </c>
      <c r="M36" s="29">
        <f t="shared" si="0"/>
        <v>0.66666666666666663</v>
      </c>
      <c r="N36" s="27" t="s">
        <v>153</v>
      </c>
      <c r="O36" s="27" t="s">
        <v>303</v>
      </c>
    </row>
    <row r="37" spans="1:15" ht="28" x14ac:dyDescent="0.2">
      <c r="A37" s="27">
        <v>34</v>
      </c>
      <c r="B37" s="27" t="s">
        <v>144</v>
      </c>
      <c r="C37" s="27" t="s">
        <v>145</v>
      </c>
      <c r="D37" s="30" t="s">
        <v>99</v>
      </c>
      <c r="E37" s="27" t="s">
        <v>127</v>
      </c>
      <c r="F37" s="27" t="s">
        <v>59</v>
      </c>
      <c r="G37" s="27" t="s">
        <v>154</v>
      </c>
      <c r="H37" s="27" t="s">
        <v>155</v>
      </c>
      <c r="I37" s="27" t="s">
        <v>156</v>
      </c>
      <c r="J37" s="27">
        <v>6</v>
      </c>
      <c r="K37" s="27">
        <v>0.8</v>
      </c>
      <c r="L37" s="27">
        <v>4</v>
      </c>
      <c r="M37" s="29">
        <f t="shared" si="0"/>
        <v>1.2000000000000002</v>
      </c>
      <c r="N37" s="27" t="s">
        <v>157</v>
      </c>
      <c r="O37" s="27" t="s">
        <v>303</v>
      </c>
    </row>
    <row r="38" spans="1:15" ht="28" x14ac:dyDescent="0.2">
      <c r="A38" s="4">
        <v>35</v>
      </c>
      <c r="B38" s="4" t="s">
        <v>158</v>
      </c>
      <c r="C38" s="4" t="s">
        <v>159</v>
      </c>
      <c r="D38" s="31" t="s">
        <v>99</v>
      </c>
      <c r="E38" s="4" t="s">
        <v>160</v>
      </c>
      <c r="F38" s="4" t="s">
        <v>59</v>
      </c>
      <c r="G38" s="4" t="s">
        <v>161</v>
      </c>
      <c r="H38" s="4" t="s">
        <v>162</v>
      </c>
      <c r="I38" s="4" t="s">
        <v>163</v>
      </c>
      <c r="J38" s="4">
        <v>5</v>
      </c>
      <c r="K38" s="4">
        <v>0.8</v>
      </c>
      <c r="L38" s="4">
        <v>3</v>
      </c>
      <c r="M38" s="6">
        <f t="shared" si="0"/>
        <v>1.3333333333333333</v>
      </c>
      <c r="N38" s="4" t="s">
        <v>51</v>
      </c>
      <c r="O38" s="4" t="s">
        <v>303</v>
      </c>
    </row>
    <row r="39" spans="1:15" ht="28" x14ac:dyDescent="0.2">
      <c r="A39" s="4">
        <v>36</v>
      </c>
      <c r="B39" s="4" t="s">
        <v>158</v>
      </c>
      <c r="C39" s="4" t="s">
        <v>159</v>
      </c>
      <c r="D39" s="31" t="s">
        <v>99</v>
      </c>
      <c r="E39" s="4" t="s">
        <v>164</v>
      </c>
      <c r="F39" s="4" t="s">
        <v>165</v>
      </c>
      <c r="G39" s="4" t="s">
        <v>166</v>
      </c>
      <c r="H39" s="4" t="s">
        <v>167</v>
      </c>
      <c r="I39" s="4" t="s">
        <v>168</v>
      </c>
      <c r="J39" s="4">
        <v>5</v>
      </c>
      <c r="K39" s="4">
        <v>0.8</v>
      </c>
      <c r="L39" s="4">
        <v>4</v>
      </c>
      <c r="M39" s="6">
        <f t="shared" si="0"/>
        <v>1</v>
      </c>
      <c r="N39" s="4" t="s">
        <v>51</v>
      </c>
      <c r="O39" s="4" t="s">
        <v>169</v>
      </c>
    </row>
    <row r="40" spans="1:15" ht="28" x14ac:dyDescent="0.2">
      <c r="A40" s="4">
        <v>37</v>
      </c>
      <c r="B40" s="4" t="s">
        <v>158</v>
      </c>
      <c r="C40" s="4" t="s">
        <v>159</v>
      </c>
      <c r="D40" s="31" t="s">
        <v>99</v>
      </c>
      <c r="E40" s="4" t="s">
        <v>96</v>
      </c>
      <c r="F40" s="4" t="s">
        <v>59</v>
      </c>
      <c r="G40" s="4" t="s">
        <v>170</v>
      </c>
      <c r="H40" s="4" t="s">
        <v>171</v>
      </c>
      <c r="I40" s="4" t="s">
        <v>172</v>
      </c>
      <c r="J40" s="4">
        <v>5</v>
      </c>
      <c r="K40" s="4">
        <v>0.8</v>
      </c>
      <c r="L40" s="4">
        <v>5</v>
      </c>
      <c r="M40" s="6">
        <f t="shared" si="0"/>
        <v>0.8</v>
      </c>
      <c r="N40" s="4" t="s">
        <v>35</v>
      </c>
      <c r="O40" s="4" t="s">
        <v>173</v>
      </c>
    </row>
    <row r="41" spans="1:15" ht="28" x14ac:dyDescent="0.2">
      <c r="A41" s="19">
        <v>38</v>
      </c>
      <c r="B41" s="19" t="s">
        <v>174</v>
      </c>
      <c r="C41" s="19" t="s">
        <v>175</v>
      </c>
      <c r="D41" s="20" t="s">
        <v>34</v>
      </c>
      <c r="E41" s="19" t="s">
        <v>120</v>
      </c>
      <c r="F41" s="19" t="s">
        <v>59</v>
      </c>
      <c r="G41" s="19" t="s">
        <v>176</v>
      </c>
      <c r="H41" s="19" t="s">
        <v>324</v>
      </c>
      <c r="I41" s="19" t="s">
        <v>177</v>
      </c>
      <c r="J41" s="19">
        <v>8</v>
      </c>
      <c r="K41" s="19">
        <v>0.8</v>
      </c>
      <c r="L41" s="19">
        <v>7</v>
      </c>
      <c r="M41" s="21">
        <f t="shared" si="0"/>
        <v>0.91428571428571437</v>
      </c>
      <c r="N41" s="19" t="s">
        <v>51</v>
      </c>
      <c r="O41" s="19" t="s">
        <v>178</v>
      </c>
    </row>
    <row r="42" spans="1:15" ht="28" x14ac:dyDescent="0.2">
      <c r="A42" s="19">
        <v>39</v>
      </c>
      <c r="B42" s="19" t="s">
        <v>174</v>
      </c>
      <c r="C42" s="19" t="s">
        <v>175</v>
      </c>
      <c r="D42" s="22" t="s">
        <v>99</v>
      </c>
      <c r="E42" s="19" t="s">
        <v>179</v>
      </c>
      <c r="F42" s="19" t="s">
        <v>59</v>
      </c>
      <c r="G42" s="19" t="s">
        <v>180</v>
      </c>
      <c r="H42" s="19" t="s">
        <v>181</v>
      </c>
      <c r="I42" s="19" t="s">
        <v>182</v>
      </c>
      <c r="J42" s="19">
        <v>5</v>
      </c>
      <c r="K42" s="19">
        <v>0.5</v>
      </c>
      <c r="L42" s="19">
        <v>6</v>
      </c>
      <c r="M42" s="21">
        <f t="shared" si="0"/>
        <v>0.41666666666666669</v>
      </c>
      <c r="N42" s="19" t="s">
        <v>28</v>
      </c>
      <c r="O42" s="19" t="s">
        <v>303</v>
      </c>
    </row>
    <row r="43" spans="1:15" x14ac:dyDescent="0.2">
      <c r="A43" s="19">
        <v>40</v>
      </c>
      <c r="B43" s="19" t="s">
        <v>174</v>
      </c>
      <c r="C43" s="19" t="s">
        <v>175</v>
      </c>
      <c r="D43" s="22" t="s">
        <v>99</v>
      </c>
      <c r="E43" s="19" t="s">
        <v>183</v>
      </c>
      <c r="F43" s="19" t="s">
        <v>117</v>
      </c>
      <c r="G43" s="19" t="s">
        <v>184</v>
      </c>
      <c r="H43" s="19" t="s">
        <v>185</v>
      </c>
      <c r="I43" s="19" t="s">
        <v>186</v>
      </c>
      <c r="J43" s="19">
        <v>5</v>
      </c>
      <c r="K43" s="19">
        <v>0.5</v>
      </c>
      <c r="L43" s="19">
        <v>5</v>
      </c>
      <c r="M43" s="21">
        <f t="shared" si="0"/>
        <v>0.5</v>
      </c>
      <c r="N43" s="19" t="s">
        <v>120</v>
      </c>
      <c r="O43" s="19" t="s">
        <v>303</v>
      </c>
    </row>
    <row r="44" spans="1:15" x14ac:dyDescent="0.2">
      <c r="A44" s="19">
        <v>41</v>
      </c>
      <c r="B44" s="19" t="s">
        <v>174</v>
      </c>
      <c r="C44" s="19" t="s">
        <v>175</v>
      </c>
      <c r="D44" s="32" t="s">
        <v>187</v>
      </c>
      <c r="E44" s="19" t="s">
        <v>131</v>
      </c>
      <c r="F44" s="19" t="s">
        <v>59</v>
      </c>
      <c r="G44" s="19" t="s">
        <v>188</v>
      </c>
      <c r="H44" s="19" t="s">
        <v>189</v>
      </c>
      <c r="I44" s="19" t="s">
        <v>190</v>
      </c>
      <c r="J44" s="19">
        <v>4</v>
      </c>
      <c r="K44" s="19">
        <v>0.5</v>
      </c>
      <c r="L44" s="19">
        <v>4</v>
      </c>
      <c r="M44" s="21">
        <f t="shared" si="0"/>
        <v>0.5</v>
      </c>
      <c r="N44" s="19" t="s">
        <v>102</v>
      </c>
      <c r="O44" s="19" t="s">
        <v>191</v>
      </c>
    </row>
    <row r="45" spans="1:15" x14ac:dyDescent="0.2">
      <c r="A45" s="19">
        <v>42</v>
      </c>
      <c r="B45" s="19" t="s">
        <v>174</v>
      </c>
      <c r="C45" s="19" t="s">
        <v>175</v>
      </c>
      <c r="D45" s="32" t="s">
        <v>187</v>
      </c>
      <c r="E45" s="19" t="s">
        <v>183</v>
      </c>
      <c r="F45" s="19" t="s">
        <v>117</v>
      </c>
      <c r="G45" s="19" t="s">
        <v>192</v>
      </c>
      <c r="H45" s="19" t="s">
        <v>193</v>
      </c>
      <c r="I45" s="19" t="s">
        <v>194</v>
      </c>
      <c r="J45" s="19">
        <v>6</v>
      </c>
      <c r="K45" s="19">
        <v>0.5</v>
      </c>
      <c r="L45" s="19">
        <v>7</v>
      </c>
      <c r="M45" s="21">
        <f t="shared" si="0"/>
        <v>0.42857142857142855</v>
      </c>
      <c r="N45" s="19" t="s">
        <v>120</v>
      </c>
      <c r="O45" s="19" t="s">
        <v>303</v>
      </c>
    </row>
    <row r="46" spans="1:15" ht="28" x14ac:dyDescent="0.2">
      <c r="A46" s="27">
        <v>43</v>
      </c>
      <c r="B46" s="27" t="s">
        <v>195</v>
      </c>
      <c r="C46" s="27" t="s">
        <v>196</v>
      </c>
      <c r="D46" s="30" t="s">
        <v>99</v>
      </c>
      <c r="E46" s="27" t="s">
        <v>183</v>
      </c>
      <c r="F46" s="27" t="s">
        <v>117</v>
      </c>
      <c r="G46" s="27" t="s">
        <v>197</v>
      </c>
      <c r="H46" s="27" t="s">
        <v>198</v>
      </c>
      <c r="I46" s="27" t="s">
        <v>199</v>
      </c>
      <c r="J46" s="27">
        <v>4</v>
      </c>
      <c r="K46" s="27">
        <v>0.5</v>
      </c>
      <c r="L46" s="27">
        <v>8</v>
      </c>
      <c r="M46" s="29">
        <f t="shared" si="0"/>
        <v>0.25</v>
      </c>
      <c r="N46" s="27" t="s">
        <v>33</v>
      </c>
      <c r="O46" s="27" t="s">
        <v>303</v>
      </c>
    </row>
    <row r="47" spans="1:15" ht="28" x14ac:dyDescent="0.2">
      <c r="A47" s="27">
        <v>44</v>
      </c>
      <c r="B47" s="27" t="s">
        <v>195</v>
      </c>
      <c r="C47" s="27" t="s">
        <v>196</v>
      </c>
      <c r="D47" s="30" t="s">
        <v>99</v>
      </c>
      <c r="E47" s="27" t="s">
        <v>200</v>
      </c>
      <c r="F47" s="27" t="s">
        <v>59</v>
      </c>
      <c r="G47" s="27" t="s">
        <v>201</v>
      </c>
      <c r="H47" s="27" t="s">
        <v>202</v>
      </c>
      <c r="I47" s="27" t="s">
        <v>203</v>
      </c>
      <c r="J47" s="27">
        <v>4</v>
      </c>
      <c r="K47" s="27">
        <v>0.5</v>
      </c>
      <c r="L47" s="27">
        <v>6</v>
      </c>
      <c r="M47" s="29">
        <f t="shared" si="0"/>
        <v>0.33333333333333331</v>
      </c>
      <c r="N47" s="27" t="s">
        <v>51</v>
      </c>
      <c r="O47" s="27" t="s">
        <v>303</v>
      </c>
    </row>
    <row r="48" spans="1:15" ht="28" x14ac:dyDescent="0.2">
      <c r="A48" s="27">
        <v>45</v>
      </c>
      <c r="B48" s="27" t="s">
        <v>195</v>
      </c>
      <c r="C48" s="27" t="s">
        <v>196</v>
      </c>
      <c r="D48" s="33" t="s">
        <v>187</v>
      </c>
      <c r="E48" s="27" t="s">
        <v>85</v>
      </c>
      <c r="F48" s="27" t="s">
        <v>45</v>
      </c>
      <c r="G48" s="27" t="s">
        <v>204</v>
      </c>
      <c r="H48" s="27" t="s">
        <v>205</v>
      </c>
      <c r="I48" s="27" t="s">
        <v>206</v>
      </c>
      <c r="J48" s="27">
        <v>4</v>
      </c>
      <c r="K48" s="27">
        <v>0.5</v>
      </c>
      <c r="L48" s="27">
        <v>5</v>
      </c>
      <c r="M48" s="29">
        <f t="shared" si="0"/>
        <v>0.4</v>
      </c>
      <c r="N48" s="27" t="s">
        <v>207</v>
      </c>
      <c r="O48" s="27" t="s">
        <v>303</v>
      </c>
    </row>
    <row r="49" spans="1:15" ht="28" x14ac:dyDescent="0.2">
      <c r="A49" s="27">
        <v>46</v>
      </c>
      <c r="B49" s="27" t="s">
        <v>195</v>
      </c>
      <c r="C49" s="27" t="s">
        <v>208</v>
      </c>
      <c r="D49" s="33" t="s">
        <v>187</v>
      </c>
      <c r="E49" s="27" t="s">
        <v>120</v>
      </c>
      <c r="F49" s="27" t="s">
        <v>59</v>
      </c>
      <c r="G49" s="27" t="s">
        <v>209</v>
      </c>
      <c r="H49" s="27" t="s">
        <v>210</v>
      </c>
      <c r="I49" s="27" t="s">
        <v>211</v>
      </c>
      <c r="J49" s="27">
        <v>5</v>
      </c>
      <c r="K49" s="27">
        <v>0.5</v>
      </c>
      <c r="L49" s="27">
        <v>8</v>
      </c>
      <c r="M49" s="29">
        <f t="shared" si="0"/>
        <v>0.3125</v>
      </c>
      <c r="N49" s="27" t="s">
        <v>212</v>
      </c>
      <c r="O49" s="27" t="s">
        <v>303</v>
      </c>
    </row>
    <row r="50" spans="1:15" ht="28" x14ac:dyDescent="0.2">
      <c r="A50" s="27">
        <v>47</v>
      </c>
      <c r="B50" s="27" t="s">
        <v>195</v>
      </c>
      <c r="C50" s="27" t="s">
        <v>208</v>
      </c>
      <c r="D50" s="33" t="s">
        <v>187</v>
      </c>
      <c r="E50" s="27" t="s">
        <v>160</v>
      </c>
      <c r="F50" s="27" t="s">
        <v>59</v>
      </c>
      <c r="G50" s="27" t="s">
        <v>213</v>
      </c>
      <c r="H50" s="27" t="s">
        <v>214</v>
      </c>
      <c r="I50" s="27" t="s">
        <v>215</v>
      </c>
      <c r="J50" s="27">
        <v>2</v>
      </c>
      <c r="K50" s="27">
        <v>0.5</v>
      </c>
      <c r="L50" s="27">
        <v>6</v>
      </c>
      <c r="M50" s="29">
        <f t="shared" si="0"/>
        <v>0.16666666666666666</v>
      </c>
      <c r="N50" s="27" t="s">
        <v>120</v>
      </c>
      <c r="O50" s="27" t="s">
        <v>303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16" customWidth="1"/>
    <col min="3" max="3" width="7" customWidth="1"/>
    <col min="4" max="5" width="5" customWidth="1"/>
    <col min="6" max="6" width="7" customWidth="1"/>
    <col min="7" max="7" width="60" customWidth="1"/>
    <col min="8" max="8" width="40" customWidth="1"/>
  </cols>
  <sheetData>
    <row r="1" spans="1:8" ht="18" x14ac:dyDescent="0.2">
      <c r="A1" s="2" t="s">
        <v>216</v>
      </c>
      <c r="B1" s="2"/>
      <c r="C1" s="2"/>
      <c r="D1" s="2"/>
      <c r="E1" s="2"/>
      <c r="F1" s="2"/>
      <c r="G1" s="2"/>
      <c r="H1" s="2"/>
    </row>
    <row r="3" spans="1:8" x14ac:dyDescent="0.2">
      <c r="A3" s="3" t="s">
        <v>2</v>
      </c>
      <c r="B3" s="3" t="s">
        <v>3</v>
      </c>
      <c r="C3" s="3" t="s">
        <v>217</v>
      </c>
      <c r="D3" s="3" t="s">
        <v>18</v>
      </c>
      <c r="E3" s="3" t="s">
        <v>34</v>
      </c>
      <c r="F3" s="3" t="s">
        <v>218</v>
      </c>
      <c r="G3" s="3" t="s">
        <v>219</v>
      </c>
      <c r="H3" s="3" t="s">
        <v>220</v>
      </c>
    </row>
    <row r="4" spans="1:8" ht="28" x14ac:dyDescent="0.2">
      <c r="A4" s="34" t="s">
        <v>16</v>
      </c>
      <c r="B4" s="34" t="s">
        <v>17</v>
      </c>
      <c r="C4" s="34">
        <v>4</v>
      </c>
      <c r="D4" s="34">
        <v>2</v>
      </c>
      <c r="E4" s="34">
        <v>1</v>
      </c>
      <c r="F4" s="34">
        <v>1</v>
      </c>
      <c r="G4" s="34" t="s">
        <v>221</v>
      </c>
      <c r="H4" s="34" t="s">
        <v>222</v>
      </c>
    </row>
    <row r="5" spans="1:8" x14ac:dyDescent="0.2">
      <c r="A5" s="34" t="s">
        <v>36</v>
      </c>
      <c r="B5" s="34" t="s">
        <v>37</v>
      </c>
      <c r="C5" s="34">
        <v>4</v>
      </c>
      <c r="D5" s="34">
        <v>2</v>
      </c>
      <c r="E5" s="34">
        <v>2</v>
      </c>
      <c r="F5" s="34">
        <v>0</v>
      </c>
      <c r="G5" s="34" t="s">
        <v>223</v>
      </c>
      <c r="H5" s="34" t="s">
        <v>224</v>
      </c>
    </row>
    <row r="6" spans="1:8" ht="28" x14ac:dyDescent="0.2">
      <c r="A6" s="34" t="s">
        <v>53</v>
      </c>
      <c r="B6" s="34" t="s">
        <v>54</v>
      </c>
      <c r="C6" s="34">
        <v>5</v>
      </c>
      <c r="D6" s="34">
        <v>1</v>
      </c>
      <c r="E6" s="34">
        <v>4</v>
      </c>
      <c r="F6" s="34">
        <v>0</v>
      </c>
      <c r="G6" s="34" t="s">
        <v>225</v>
      </c>
      <c r="H6" s="34" t="s">
        <v>226</v>
      </c>
    </row>
    <row r="7" spans="1:8" x14ac:dyDescent="0.2">
      <c r="A7" s="34" t="s">
        <v>69</v>
      </c>
      <c r="B7" s="34" t="s">
        <v>70</v>
      </c>
      <c r="C7" s="34">
        <v>4</v>
      </c>
      <c r="D7" s="34">
        <v>1</v>
      </c>
      <c r="E7" s="34">
        <v>3</v>
      </c>
      <c r="F7" s="34">
        <v>0</v>
      </c>
      <c r="G7" s="34" t="s">
        <v>227</v>
      </c>
      <c r="H7" s="34" t="s">
        <v>228</v>
      </c>
    </row>
    <row r="8" spans="1:8" ht="28" x14ac:dyDescent="0.2">
      <c r="A8" s="34" t="s">
        <v>83</v>
      </c>
      <c r="B8" s="34" t="s">
        <v>84</v>
      </c>
      <c r="C8" s="34">
        <v>5</v>
      </c>
      <c r="D8" s="34">
        <v>0</v>
      </c>
      <c r="E8" s="34">
        <v>3</v>
      </c>
      <c r="F8" s="34">
        <v>2</v>
      </c>
      <c r="G8" s="34" t="s">
        <v>229</v>
      </c>
      <c r="H8" s="34" t="s">
        <v>230</v>
      </c>
    </row>
    <row r="9" spans="1:8" ht="28" x14ac:dyDescent="0.2">
      <c r="A9" s="34" t="s">
        <v>103</v>
      </c>
      <c r="B9" s="34" t="s">
        <v>104</v>
      </c>
      <c r="C9" s="34">
        <v>4</v>
      </c>
      <c r="D9" s="34">
        <v>0</v>
      </c>
      <c r="E9" s="34">
        <v>3</v>
      </c>
      <c r="F9" s="34">
        <v>1</v>
      </c>
      <c r="G9" s="34" t="s">
        <v>231</v>
      </c>
      <c r="H9" s="34" t="s">
        <v>232</v>
      </c>
    </row>
    <row r="10" spans="1:8" x14ac:dyDescent="0.2">
      <c r="A10" s="34" t="s">
        <v>121</v>
      </c>
      <c r="B10" s="34" t="s">
        <v>122</v>
      </c>
      <c r="C10" s="34">
        <v>3</v>
      </c>
      <c r="D10" s="34">
        <v>0</v>
      </c>
      <c r="E10" s="34">
        <v>2</v>
      </c>
      <c r="F10" s="34">
        <v>1</v>
      </c>
      <c r="G10" s="34" t="s">
        <v>233</v>
      </c>
      <c r="H10" s="34" t="s">
        <v>234</v>
      </c>
    </row>
    <row r="11" spans="1:8" x14ac:dyDescent="0.2">
      <c r="A11" s="34" t="s">
        <v>135</v>
      </c>
      <c r="B11" s="34" t="s">
        <v>136</v>
      </c>
      <c r="C11" s="34">
        <v>2</v>
      </c>
      <c r="D11" s="34">
        <v>0</v>
      </c>
      <c r="E11" s="34">
        <v>2</v>
      </c>
      <c r="F11" s="34">
        <v>0</v>
      </c>
      <c r="G11" s="34" t="s">
        <v>235</v>
      </c>
      <c r="H11" s="34" t="s">
        <v>236</v>
      </c>
    </row>
    <row r="12" spans="1:8" x14ac:dyDescent="0.2">
      <c r="A12" s="34" t="s">
        <v>144</v>
      </c>
      <c r="B12" s="34" t="s">
        <v>145</v>
      </c>
      <c r="C12" s="34">
        <v>3</v>
      </c>
      <c r="D12" s="34">
        <v>0</v>
      </c>
      <c r="E12" s="34">
        <v>1</v>
      </c>
      <c r="F12" s="34">
        <v>2</v>
      </c>
      <c r="G12" s="34" t="s">
        <v>237</v>
      </c>
      <c r="H12" s="34" t="s">
        <v>238</v>
      </c>
    </row>
    <row r="13" spans="1:8" x14ac:dyDescent="0.2">
      <c r="A13" s="34" t="s">
        <v>158</v>
      </c>
      <c r="B13" s="34" t="s">
        <v>159</v>
      </c>
      <c r="C13" s="34">
        <v>3</v>
      </c>
      <c r="D13" s="34">
        <v>0</v>
      </c>
      <c r="E13" s="34">
        <v>0</v>
      </c>
      <c r="F13" s="34">
        <v>3</v>
      </c>
      <c r="G13" s="34" t="s">
        <v>239</v>
      </c>
      <c r="H13" s="34" t="s">
        <v>240</v>
      </c>
    </row>
    <row r="14" spans="1:8" ht="28" x14ac:dyDescent="0.2">
      <c r="A14" s="34" t="s">
        <v>174</v>
      </c>
      <c r="B14" s="34" t="s">
        <v>175</v>
      </c>
      <c r="C14" s="34">
        <v>5</v>
      </c>
      <c r="D14" s="34">
        <v>0</v>
      </c>
      <c r="E14" s="34">
        <v>1</v>
      </c>
      <c r="F14" s="34">
        <v>4</v>
      </c>
      <c r="G14" s="34" t="s">
        <v>241</v>
      </c>
      <c r="H14" s="34" t="s">
        <v>242</v>
      </c>
    </row>
    <row r="15" spans="1:8" x14ac:dyDescent="0.2">
      <c r="A15" s="34" t="s">
        <v>195</v>
      </c>
      <c r="B15" s="34" t="s">
        <v>243</v>
      </c>
      <c r="C15" s="34">
        <v>5</v>
      </c>
      <c r="D15" s="34">
        <v>0</v>
      </c>
      <c r="E15" s="34">
        <v>0</v>
      </c>
      <c r="F15" s="34">
        <v>5</v>
      </c>
      <c r="G15" s="34" t="s">
        <v>244</v>
      </c>
      <c r="H15" s="34" t="s">
        <v>245</v>
      </c>
    </row>
    <row r="17" spans="1:3" x14ac:dyDescent="0.2">
      <c r="A17" s="35" t="s">
        <v>246</v>
      </c>
      <c r="C17" s="36">
        <f>SUM(C4:C16)</f>
        <v>47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4" width="20" customWidth="1"/>
    <col min="5" max="5" width="38" customWidth="1"/>
  </cols>
  <sheetData>
    <row r="1" spans="1:5" ht="18" x14ac:dyDescent="0.2">
      <c r="A1" s="2" t="s">
        <v>247</v>
      </c>
      <c r="B1" s="2"/>
      <c r="C1" s="2"/>
      <c r="D1" s="2"/>
      <c r="E1" s="2"/>
    </row>
    <row r="3" spans="1:5" ht="28" x14ac:dyDescent="0.2">
      <c r="A3" s="3" t="s">
        <v>248</v>
      </c>
      <c r="B3" s="3" t="s">
        <v>249</v>
      </c>
      <c r="C3" s="3" t="s">
        <v>250</v>
      </c>
      <c r="D3" s="3" t="s">
        <v>251</v>
      </c>
      <c r="E3" s="3" t="s">
        <v>252</v>
      </c>
    </row>
    <row r="4" spans="1:5" x14ac:dyDescent="0.2">
      <c r="A4" s="34" t="s">
        <v>253</v>
      </c>
      <c r="B4" s="34" t="s">
        <v>254</v>
      </c>
      <c r="C4" s="34" t="s">
        <v>255</v>
      </c>
      <c r="D4" s="34" t="s">
        <v>256</v>
      </c>
      <c r="E4" s="34" t="s">
        <v>257</v>
      </c>
    </row>
    <row r="5" spans="1:5" x14ac:dyDescent="0.2">
      <c r="A5" s="34" t="s">
        <v>258</v>
      </c>
      <c r="B5" s="34" t="s">
        <v>259</v>
      </c>
      <c r="C5" s="34" t="s">
        <v>260</v>
      </c>
      <c r="D5" s="34" t="s">
        <v>261</v>
      </c>
      <c r="E5" s="34" t="s">
        <v>262</v>
      </c>
    </row>
    <row r="6" spans="1:5" x14ac:dyDescent="0.2">
      <c r="A6" s="34" t="s">
        <v>263</v>
      </c>
      <c r="B6" s="34" t="s">
        <v>264</v>
      </c>
      <c r="C6" s="34" t="s">
        <v>265</v>
      </c>
      <c r="D6" s="34" t="s">
        <v>266</v>
      </c>
      <c r="E6" s="34" t="s">
        <v>267</v>
      </c>
    </row>
    <row r="7" spans="1:5" x14ac:dyDescent="0.2">
      <c r="A7" s="34" t="s">
        <v>268</v>
      </c>
      <c r="B7" s="34" t="s">
        <v>269</v>
      </c>
      <c r="C7" s="34" t="s">
        <v>270</v>
      </c>
      <c r="D7" s="34" t="s">
        <v>271</v>
      </c>
      <c r="E7" s="34" t="s">
        <v>272</v>
      </c>
    </row>
    <row r="8" spans="1:5" x14ac:dyDescent="0.2">
      <c r="A8" s="34" t="s">
        <v>273</v>
      </c>
      <c r="B8" s="34" t="s">
        <v>274</v>
      </c>
      <c r="C8" s="34" t="s">
        <v>275</v>
      </c>
      <c r="D8" s="34" t="s">
        <v>276</v>
      </c>
      <c r="E8" s="34" t="s">
        <v>277</v>
      </c>
    </row>
    <row r="9" spans="1:5" x14ac:dyDescent="0.2">
      <c r="A9" s="34" t="s">
        <v>278</v>
      </c>
      <c r="B9" s="34" t="s">
        <v>279</v>
      </c>
      <c r="C9" s="34" t="s">
        <v>280</v>
      </c>
      <c r="D9" s="34" t="s">
        <v>281</v>
      </c>
      <c r="E9" s="34" t="s">
        <v>282</v>
      </c>
    </row>
    <row r="10" spans="1:5" x14ac:dyDescent="0.2">
      <c r="A10" s="34" t="s">
        <v>283</v>
      </c>
      <c r="B10" s="34" t="s">
        <v>284</v>
      </c>
      <c r="C10" s="34" t="s">
        <v>285</v>
      </c>
      <c r="D10" s="34" t="s">
        <v>286</v>
      </c>
      <c r="E10" s="34" t="s">
        <v>287</v>
      </c>
    </row>
    <row r="11" spans="1:5" x14ac:dyDescent="0.2">
      <c r="A11" s="34" t="s">
        <v>288</v>
      </c>
      <c r="B11" s="34" t="s">
        <v>284</v>
      </c>
      <c r="C11" s="34" t="s">
        <v>289</v>
      </c>
      <c r="D11" s="34" t="s">
        <v>290</v>
      </c>
      <c r="E11" s="34" t="s">
        <v>291</v>
      </c>
    </row>
    <row r="12" spans="1:5" x14ac:dyDescent="0.2">
      <c r="A12" s="34" t="s">
        <v>292</v>
      </c>
      <c r="B12" s="34" t="s">
        <v>293</v>
      </c>
      <c r="C12" s="34" t="s">
        <v>294</v>
      </c>
      <c r="D12" s="34" t="s">
        <v>295</v>
      </c>
      <c r="E12" s="34" t="s">
        <v>296</v>
      </c>
    </row>
    <row r="13" spans="1:5" x14ac:dyDescent="0.2">
      <c r="A13" s="34" t="s">
        <v>297</v>
      </c>
      <c r="B13" s="34" t="s">
        <v>298</v>
      </c>
      <c r="C13" s="34" t="s">
        <v>299</v>
      </c>
      <c r="D13" s="34" t="s">
        <v>300</v>
      </c>
      <c r="E13" s="34" t="s">
        <v>301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Роадмап</vt:lpstr>
      <vt:lpstr>Сводка по спринтам</vt:lpstr>
      <vt:lpstr>Целевые метрики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2026-03-02T20:39:58Z</dcterms:created>
  <dcterms:modified xsi:type="dcterms:W3CDTF">2026-03-11T20:11:00Z</dcterms:modified>
  <dc:language>en-US</dc:language>
</cp:coreProperties>
</file>